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_Python\LIASA\Projeto - Modulação_v1.2\"/>
    </mc:Choice>
  </mc:AlternateContent>
  <xr:revisionPtr revIDLastSave="0" documentId="13_ncr:1_{9D3E41D6-603D-4E49-95AC-F81291FF9B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umo Flat" sheetId="1" r:id="rId1"/>
    <sheet name="Modulado" sheetId="2" state="hidden" r:id="rId2"/>
  </sheets>
  <definedNames>
    <definedName name="CaminhoUFV">#REF!</definedName>
    <definedName name="MCP_Cessa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2" l="1"/>
  <c r="D31" i="2"/>
  <c r="B31" i="2"/>
  <c r="E30" i="2"/>
  <c r="G30" i="1"/>
  <c r="H29" i="1" s="1"/>
  <c r="I29" i="1" s="1"/>
  <c r="C30" i="1"/>
  <c r="A30" i="1"/>
  <c r="D29" i="1"/>
  <c r="D28" i="1"/>
  <c r="E28" i="1" s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E6" i="1"/>
  <c r="D6" i="1"/>
  <c r="F6" i="1" s="1"/>
  <c r="H28" i="1" l="1"/>
  <c r="I28" i="1" s="1"/>
  <c r="F28" i="1"/>
  <c r="H25" i="2"/>
  <c r="I25" i="2" s="1"/>
  <c r="H13" i="2"/>
  <c r="I13" i="2" s="1"/>
  <c r="H24" i="2"/>
  <c r="I24" i="2" s="1"/>
  <c r="H8" i="2"/>
  <c r="I8" i="2" s="1"/>
  <c r="H23" i="2"/>
  <c r="I23" i="2" s="1"/>
  <c r="H30" i="2"/>
  <c r="I30" i="2" s="1"/>
  <c r="J30" i="2" s="1"/>
  <c r="K30" i="2" s="1"/>
  <c r="H22" i="2"/>
  <c r="I22" i="2" s="1"/>
  <c r="H7" i="2"/>
  <c r="H21" i="2"/>
  <c r="I21" i="2" s="1"/>
  <c r="H12" i="2"/>
  <c r="I12" i="2" s="1"/>
  <c r="H20" i="2"/>
  <c r="I20" i="2" s="1"/>
  <c r="H28" i="2"/>
  <c r="I28" i="2" s="1"/>
  <c r="J28" i="2" s="1"/>
  <c r="K28" i="2" s="1"/>
  <c r="H19" i="2"/>
  <c r="I19" i="2" s="1"/>
  <c r="H11" i="2"/>
  <c r="I11" i="2" s="1"/>
  <c r="H18" i="2"/>
  <c r="I18" i="2" s="1"/>
  <c r="H29" i="2"/>
  <c r="I29" i="2" s="1"/>
  <c r="J29" i="2" s="1"/>
  <c r="K29" i="2" s="1"/>
  <c r="H17" i="2"/>
  <c r="I17" i="2" s="1"/>
  <c r="H10" i="2"/>
  <c r="I10" i="2" s="1"/>
  <c r="H16" i="2"/>
  <c r="I16" i="2" s="1"/>
  <c r="H26" i="2"/>
  <c r="I26" i="2" s="1"/>
  <c r="J26" i="2" s="1"/>
  <c r="K26" i="2" s="1"/>
  <c r="H15" i="2"/>
  <c r="I15" i="2" s="1"/>
  <c r="H9" i="2"/>
  <c r="I9" i="2" s="1"/>
  <c r="H14" i="2"/>
  <c r="I14" i="2" s="1"/>
  <c r="H27" i="2"/>
  <c r="I27" i="2" s="1"/>
  <c r="J27" i="2" s="1"/>
  <c r="K27" i="2" s="1"/>
  <c r="H9" i="1"/>
  <c r="I9" i="1" s="1"/>
  <c r="H12" i="1"/>
  <c r="I12" i="1" s="1"/>
  <c r="H26" i="1"/>
  <c r="I26" i="1" s="1"/>
  <c r="H11" i="1"/>
  <c r="I11" i="1" s="1"/>
  <c r="H10" i="1"/>
  <c r="I10" i="1" s="1"/>
  <c r="H25" i="1"/>
  <c r="I25" i="1" s="1"/>
  <c r="H8" i="1"/>
  <c r="I8" i="1" s="1"/>
  <c r="H7" i="1"/>
  <c r="I7" i="1" s="1"/>
  <c r="H24" i="1"/>
  <c r="I24" i="1" s="1"/>
  <c r="H23" i="1"/>
  <c r="I23" i="1" s="1"/>
  <c r="H22" i="1"/>
  <c r="I22" i="1" s="1"/>
  <c r="H6" i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27" i="1"/>
  <c r="I27" i="1" s="1"/>
  <c r="D30" i="1"/>
  <c r="E29" i="1"/>
  <c r="F29" i="1"/>
  <c r="J28" i="1"/>
  <c r="L28" i="1" s="1"/>
  <c r="K28" i="1"/>
  <c r="M28" i="1" s="1"/>
  <c r="E27" i="1"/>
  <c r="F27" i="1"/>
  <c r="E26" i="1"/>
  <c r="F26" i="1"/>
  <c r="E25" i="1"/>
  <c r="E25" i="2"/>
  <c r="F25" i="1"/>
  <c r="E24" i="2"/>
  <c r="E24" i="1"/>
  <c r="F24" i="1"/>
  <c r="E23" i="2"/>
  <c r="E23" i="1"/>
  <c r="F23" i="1"/>
  <c r="E22" i="2"/>
  <c r="E22" i="1"/>
  <c r="F22" i="1"/>
  <c r="E21" i="2"/>
  <c r="F21" i="1"/>
  <c r="E21" i="1"/>
  <c r="E20" i="2"/>
  <c r="F20" i="1"/>
  <c r="E20" i="1"/>
  <c r="E19" i="2"/>
  <c r="E19" i="1"/>
  <c r="F19" i="1"/>
  <c r="E18" i="2"/>
  <c r="F18" i="1"/>
  <c r="E18" i="1"/>
  <c r="E17" i="2"/>
  <c r="E17" i="1"/>
  <c r="F17" i="1"/>
  <c r="E16" i="2"/>
  <c r="F16" i="1"/>
  <c r="E16" i="1"/>
  <c r="F15" i="1"/>
  <c r="E15" i="1"/>
  <c r="E15" i="2"/>
  <c r="F14" i="1"/>
  <c r="E14" i="1"/>
  <c r="E14" i="2"/>
  <c r="F13" i="1"/>
  <c r="E13" i="1"/>
  <c r="E13" i="2"/>
  <c r="E12" i="2"/>
  <c r="F12" i="1"/>
  <c r="E12" i="1"/>
  <c r="E11" i="2"/>
  <c r="E11" i="1"/>
  <c r="F11" i="1"/>
  <c r="E10" i="2"/>
  <c r="F10" i="1"/>
  <c r="E10" i="1"/>
  <c r="E9" i="2"/>
  <c r="F9" i="1"/>
  <c r="E9" i="1"/>
  <c r="E8" i="2"/>
  <c r="F8" i="1"/>
  <c r="E8" i="1"/>
  <c r="E7" i="2"/>
  <c r="E7" i="1"/>
  <c r="E30" i="1" s="1"/>
  <c r="F7" i="1"/>
  <c r="F30" i="1" s="1"/>
  <c r="N28" i="1" l="1"/>
  <c r="J19" i="2"/>
  <c r="K19" i="2" s="1"/>
  <c r="J11" i="2"/>
  <c r="K11" i="2" s="1"/>
  <c r="J29" i="1"/>
  <c r="L29" i="1" s="1"/>
  <c r="K29" i="1"/>
  <c r="M29" i="1" s="1"/>
  <c r="N29" i="1" s="1"/>
  <c r="H31" i="2"/>
  <c r="I7" i="2"/>
  <c r="J9" i="1"/>
  <c r="L9" i="1" s="1"/>
  <c r="K9" i="1"/>
  <c r="M9" i="1" s="1"/>
  <c r="N9" i="1" s="1"/>
  <c r="J12" i="1"/>
  <c r="L12" i="1" s="1"/>
  <c r="K12" i="1"/>
  <c r="M12" i="1" s="1"/>
  <c r="J26" i="1"/>
  <c r="L26" i="1" s="1"/>
  <c r="K26" i="1"/>
  <c r="M26" i="1" s="1"/>
  <c r="J11" i="1"/>
  <c r="L11" i="1" s="1"/>
  <c r="K11" i="1"/>
  <c r="M11" i="1" s="1"/>
  <c r="N11" i="1" s="1"/>
  <c r="K10" i="1"/>
  <c r="M10" i="1" s="1"/>
  <c r="J10" i="1"/>
  <c r="L10" i="1" s="1"/>
  <c r="J25" i="1"/>
  <c r="L25" i="1" s="1"/>
  <c r="K25" i="1"/>
  <c r="M25" i="1" s="1"/>
  <c r="K8" i="1"/>
  <c r="M8" i="1" s="1"/>
  <c r="J8" i="1"/>
  <c r="L8" i="1" s="1"/>
  <c r="K7" i="1"/>
  <c r="M7" i="1" s="1"/>
  <c r="J7" i="1"/>
  <c r="L7" i="1" s="1"/>
  <c r="J24" i="1"/>
  <c r="L24" i="1" s="1"/>
  <c r="K24" i="1"/>
  <c r="M24" i="1" s="1"/>
  <c r="J23" i="1"/>
  <c r="L23" i="1" s="1"/>
  <c r="K23" i="1"/>
  <c r="M23" i="1" s="1"/>
  <c r="N23" i="1" s="1"/>
  <c r="J22" i="1"/>
  <c r="L22" i="1" s="1"/>
  <c r="K22" i="1"/>
  <c r="M22" i="1" s="1"/>
  <c r="N22" i="1" s="1"/>
  <c r="I6" i="1"/>
  <c r="H30" i="1"/>
  <c r="J21" i="1"/>
  <c r="L21" i="1" s="1"/>
  <c r="K21" i="1"/>
  <c r="M21" i="1" s="1"/>
  <c r="N21" i="1" s="1"/>
  <c r="J20" i="1"/>
  <c r="L20" i="1" s="1"/>
  <c r="K20" i="1"/>
  <c r="M20" i="1" s="1"/>
  <c r="N20" i="1" s="1"/>
  <c r="J19" i="1"/>
  <c r="L19" i="1" s="1"/>
  <c r="K19" i="1"/>
  <c r="M19" i="1" s="1"/>
  <c r="J18" i="1"/>
  <c r="L18" i="1" s="1"/>
  <c r="K18" i="1"/>
  <c r="M18" i="1" s="1"/>
  <c r="N18" i="1" s="1"/>
  <c r="J17" i="1"/>
  <c r="L17" i="1" s="1"/>
  <c r="K17" i="1"/>
  <c r="M17" i="1" s="1"/>
  <c r="N17" i="1" s="1"/>
  <c r="K16" i="1"/>
  <c r="M16" i="1" s="1"/>
  <c r="J16" i="1"/>
  <c r="L16" i="1" s="1"/>
  <c r="J15" i="1"/>
  <c r="L15" i="1" s="1"/>
  <c r="K15" i="1"/>
  <c r="M15" i="1" s="1"/>
  <c r="J14" i="1"/>
  <c r="L14" i="1" s="1"/>
  <c r="K14" i="1"/>
  <c r="M14" i="1" s="1"/>
  <c r="N14" i="1" s="1"/>
  <c r="J13" i="1"/>
  <c r="L13" i="1" s="1"/>
  <c r="K13" i="1"/>
  <c r="M13" i="1" s="1"/>
  <c r="J27" i="1"/>
  <c r="L27" i="1" s="1"/>
  <c r="K27" i="1"/>
  <c r="M27" i="1" s="1"/>
  <c r="E31" i="2"/>
  <c r="B1" i="2"/>
  <c r="J25" i="2"/>
  <c r="K25" i="2" s="1"/>
  <c r="J13" i="2"/>
  <c r="K13" i="2" s="1"/>
  <c r="J24" i="2"/>
  <c r="K24" i="2" s="1"/>
  <c r="J8" i="2"/>
  <c r="K8" i="2" s="1"/>
  <c r="J23" i="2"/>
  <c r="K23" i="2" s="1"/>
  <c r="J22" i="2"/>
  <c r="K22" i="2" s="1"/>
  <c r="J21" i="2"/>
  <c r="K21" i="2" s="1"/>
  <c r="J12" i="2"/>
  <c r="K12" i="2" s="1"/>
  <c r="J20" i="2"/>
  <c r="K20" i="2" s="1"/>
  <c r="J18" i="2"/>
  <c r="K18" i="2" s="1"/>
  <c r="J17" i="2"/>
  <c r="K17" i="2" s="1"/>
  <c r="J10" i="2"/>
  <c r="K10" i="2" s="1"/>
  <c r="J16" i="2"/>
  <c r="K16" i="2" s="1"/>
  <c r="J15" i="2"/>
  <c r="K15" i="2" s="1"/>
  <c r="J14" i="2"/>
  <c r="K14" i="2" s="1"/>
  <c r="J9" i="2"/>
  <c r="K9" i="2" s="1"/>
  <c r="N25" i="1" l="1"/>
  <c r="N15" i="1"/>
  <c r="N12" i="1"/>
  <c r="N13" i="1"/>
  <c r="N19" i="1"/>
  <c r="N26" i="1"/>
  <c r="N24" i="1"/>
  <c r="N27" i="1"/>
  <c r="J7" i="2"/>
  <c r="I31" i="2"/>
  <c r="K6" i="1"/>
  <c r="M6" i="1" s="1"/>
  <c r="I30" i="1"/>
  <c r="J6" i="1"/>
  <c r="N10" i="1"/>
  <c r="N8" i="1"/>
  <c r="N7" i="1"/>
  <c r="N16" i="1"/>
  <c r="J31" i="2" l="1"/>
  <c r="K7" i="2"/>
  <c r="K31" i="2" s="1"/>
  <c r="B2" i="2" s="1"/>
  <c r="M30" i="1"/>
  <c r="M31" i="1" s="1"/>
  <c r="L6" i="1"/>
  <c r="L30" i="1" s="1"/>
  <c r="J30" i="1"/>
  <c r="N6" i="1" l="1"/>
  <c r="N30" i="1" s="1"/>
  <c r="L31" i="1"/>
  <c r="K34" i="2"/>
</calcChain>
</file>

<file path=xl/sharedStrings.xml><?xml version="1.0" encoding="utf-8"?>
<sst xmlns="http://schemas.openxmlformats.org/spreadsheetml/2006/main" count="31" uniqueCount="24">
  <si>
    <t xml:space="preserve">Consumo médio Dia </t>
  </si>
  <si>
    <t>Total de Recurso</t>
  </si>
  <si>
    <t>DIA</t>
  </si>
  <si>
    <t>HORA</t>
  </si>
  <si>
    <t>PLD_HORA</t>
  </si>
  <si>
    <t>Consumo</t>
  </si>
  <si>
    <t>Consumo com redução</t>
  </si>
  <si>
    <t>Cessão</t>
  </si>
  <si>
    <t>Geração média</t>
  </si>
  <si>
    <t>Fator de Modulação Médio DU Mensal</t>
  </si>
  <si>
    <t xml:space="preserve">Geração Modulada </t>
  </si>
  <si>
    <t>Balanço Energético</t>
  </si>
  <si>
    <t>Balanço Energético com Redução do Consumo</t>
  </si>
  <si>
    <t>Resultado Financeiro</t>
  </si>
  <si>
    <t xml:space="preserve">Resultado Financeiro com Redução do Consumo </t>
  </si>
  <si>
    <t>Diferença</t>
  </si>
  <si>
    <t>Custo Modulação R$/MWh</t>
  </si>
  <si>
    <t>DataHora</t>
  </si>
  <si>
    <t>Consumo Previsto</t>
  </si>
  <si>
    <t>Coluna1</t>
  </si>
  <si>
    <t>Geração Modulada Média DU</t>
  </si>
  <si>
    <t>Resultado Financeito</t>
  </si>
  <si>
    <t>Total</t>
  </si>
  <si>
    <t>R$/MWh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</si>
</sst>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-[$R$-416]\ * #,##0.00_-;\-[$R$-416]\ * #,##0.00_-;_-[$R$-416]\ * &quot;-&quot;??_-;_-@_-"/>
    <numFmt numFmtId="171" formatCode="_-* #,##0.00_-;\-* #,##0.00_-;_-* &quot;-&quot;??_-;_-@_-"/>
    <numFmt numFmtId="172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5" fontId="1" fillId="0" borderId="0"/>
    <xf numFmtId="164" fontId="1" fillId="0" borderId="0"/>
    <xf numFmtId="171" fontId="1" fillId="0" borderId="0" applyFont="0" applyFill="0" applyBorder="0" applyAlignment="0" applyProtection="0"/>
  </cellStyleXfs>
  <cellXfs count="28">
    <xf numFmtId="0" fontId="0" fillId="0" borderId="0" xfId="0"/>
    <xf numFmtId="2" fontId="0" fillId="0" borderId="0" xfId="0" applyNumberFormat="1"/>
    <xf numFmtId="165" fontId="0" fillId="0" borderId="0" xfId="1" applyFont="1"/>
    <xf numFmtId="165" fontId="1" fillId="0" borderId="0" xfId="0" applyNumberFormat="1" applyFont="1"/>
    <xf numFmtId="22" fontId="0" fillId="0" borderId="0" xfId="0" applyNumberFormat="1"/>
    <xf numFmtId="164" fontId="0" fillId="0" borderId="0" xfId="2" applyFont="1"/>
    <xf numFmtId="165" fontId="0" fillId="0" borderId="0" xfId="0" applyNumberFormat="1"/>
    <xf numFmtId="164" fontId="0" fillId="0" borderId="0" xfId="0" applyNumberFormat="1"/>
    <xf numFmtId="2" fontId="2" fillId="2" borderId="0" xfId="0" applyNumberFormat="1" applyFont="1" applyFill="1"/>
    <xf numFmtId="165" fontId="1" fillId="0" borderId="0" xfId="0" applyNumberFormat="1" applyFont="1" applyAlignment="1">
      <alignment wrapText="1"/>
    </xf>
    <xf numFmtId="0" fontId="2" fillId="3" borderId="0" xfId="0" applyFont="1" applyFill="1"/>
    <xf numFmtId="0" fontId="2" fillId="0" borderId="0" xfId="0" applyFont="1"/>
    <xf numFmtId="165" fontId="2" fillId="3" borderId="0" xfId="1" applyFont="1" applyFill="1"/>
    <xf numFmtId="165" fontId="2" fillId="2" borderId="0" xfId="1" applyFont="1" applyFill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165" fontId="1" fillId="0" borderId="0" xfId="0" applyNumberFormat="1" applyFont="1" applyAlignment="1">
      <alignment horizontal="left" vertical="center" wrapText="1"/>
    </xf>
    <xf numFmtId="164" fontId="4" fillId="0" borderId="0" xfId="2" applyFont="1"/>
    <xf numFmtId="165" fontId="2" fillId="0" borderId="0" xfId="0" applyNumberFormat="1" applyFont="1"/>
    <xf numFmtId="164" fontId="3" fillId="0" borderId="0" xfId="2" applyFont="1"/>
    <xf numFmtId="164" fontId="4" fillId="2" borderId="0" xfId="0" applyNumberFormat="1" applyFont="1" applyFill="1"/>
    <xf numFmtId="164" fontId="0" fillId="2" borderId="0" xfId="0" applyNumberFormat="1" applyFill="1"/>
    <xf numFmtId="165" fontId="5" fillId="0" borderId="0" xfId="1" applyFont="1"/>
    <xf numFmtId="166" fontId="1" fillId="0" borderId="0" xfId="2" applyNumberFormat="1"/>
    <xf numFmtId="172" fontId="0" fillId="0" borderId="0" xfId="0" applyNumberFormat="1"/>
  </cellXfs>
  <cellStyles count="4">
    <cellStyle name="Moeda" xfId="2" builtinId="4"/>
    <cellStyle name="Normal" xfId="0" builtinId="0"/>
    <cellStyle name="Vírgula" xfId="1" builtinId="3"/>
    <cellStyle name="Vírgula 2" xfId="3" xr:uid="{1F7F3B38-6543-4049-8E67-CF933EA7F502}"/>
  </cellStyles>
  <dxfs count="41">
    <dxf>
      <numFmt numFmtId="164" formatCode="_(&quot;R$&quot;* #,##0.00_);_(&quot;R$&quot;* \(#,##0.00\);_(&quot;R$&quot;* &quot;-&quot;??_);_(@_)"/>
      <fill>
        <patternFill patternType="solid">
          <fgColor indexed="64"/>
          <bgColor rgb="FFFFFF00"/>
        </patternFill>
      </fill>
    </dxf>
    <dxf>
      <numFmt numFmtId="164" formatCode="_(&quot;R$&quot;* #,##0.00_);_(&quot;R$&quot;* \(#,##0.00\);_(&quot;R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/>
        <name val="Calibri"/>
        <family val="2"/>
        <scheme val="minor"/>
      </font>
      <numFmt numFmtId="164" formatCode="_(&quot;R$&quot;* #,##0.00_);_(&quot;R$&quot;* \(#,##0.00\);_(&quot;R$&quot;* &quot;-&quot;??_);_(@_)"/>
      <fill>
        <patternFill patternType="solid">
          <fgColor indexed="64"/>
          <bgColor rgb="FFFFFF00"/>
        </patternFill>
      </fill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numFmt numFmtId="2" formatCode="0.00"/>
    </dxf>
    <dxf>
      <numFmt numFmtId="164" formatCode="_(&quot;R$&quot;* #,##0.00_);_(&quot;R$&quot;* \(#,##0.00\);_(&quot;R$&quot;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167" formatCode="m/d/yyyy\ h:m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</dxf>
    <dxf>
      <font>
        <b/>
        <strike val="0"/>
        <outline val="0"/>
        <shadow val="0"/>
        <vertAlign val="baseline"/>
        <sz val="11"/>
        <color theme="5"/>
        <name val="Calibri"/>
        <family val="2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5" formatCode="_(* #,##0.00_);_(* \(#,##0.00\);_(* &quot;-&quot;??_);_(@_)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5" formatCode="_(* #,##0.00_);_(* \(#,##0.00\);_(* &quot;-&quot;??_);_(@_)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5" formatCode="_(* #,##0.00_);_(* \(#,##0.00\);_(* &quot;-&quot;??_);_(@_)"/>
    </dxf>
    <dxf>
      <numFmt numFmtId="2" formatCode="0.00"/>
    </dxf>
    <dxf>
      <alignment horizontal="left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DH" displayName="PLDH" ref="A5:N30" totalsRowCount="1" headerRowDxfId="40">
  <autoFilter ref="A5:N2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6" xr3:uid="{00000000-0010-0000-0000-000006000000}" name="DIA" totalsRowFunction="max"/>
    <tableColumn id="7" xr3:uid="{00000000-0010-0000-0000-000007000000}" name="HORA"/>
    <tableColumn id="8" xr3:uid="{00000000-0010-0000-0000-000008000000}" name="PLD_HORA" totalsRowFunction="average" dataDxfId="39" totalsRowDxfId="11"/>
    <tableColumn id="9" xr3:uid="{00000000-0010-0000-0000-000009000000}" name="Consumo" totalsRowFunction="sum" dataDxfId="38" totalsRowDxfId="10">
      <calculatedColumnFormula>$B$1</calculatedColumnFormula>
    </tableColumn>
    <tableColumn id="1" xr3:uid="{00000000-0010-0000-0000-000001000000}" name="Consumo com redução" totalsRowFunction="sum" dataDxfId="37" totalsRowDxfId="9" dataCellStyle="Vírgula">
      <calculatedColumnFormula>PLDH[[#This Row],[Consumo]]</calculatedColumnFormula>
    </tableColumn>
    <tableColumn id="3" xr3:uid="{00000000-0010-0000-0000-000003000000}" name="Cessão" totalsRowFunction="sum" dataDxfId="36" totalsRowDxfId="8" dataCellStyle="Vírgula">
      <calculatedColumnFormula>$B$2-PLDH[[#This Row],[Consumo]]</calculatedColumnFormula>
    </tableColumn>
    <tableColumn id="12" xr3:uid="{00000000-0010-0000-0000-00000C000000}" name="Geração média" totalsRowFunction="average" dataDxfId="35" totalsRowDxfId="7"/>
    <tableColumn id="2" xr3:uid="{00000000-0010-0000-0000-000002000000}" name="Fator de Modulação Médio DU Mensal" totalsRowFunction="sum" dataDxfId="34" totalsRowDxfId="6">
      <calculatedColumnFormula>PLDH[[#This Row],[Geração média]]/PLDH[[#Totals],[Geração média]]/24</calculatedColumnFormula>
    </tableColumn>
    <tableColumn id="10" xr3:uid="{00000000-0010-0000-0000-00000A000000}" name="Geração Modulada " totalsRowFunction="average" dataDxfId="33" totalsRowDxfId="5">
      <calculatedColumnFormula>$B$2*24*PLDH[[#This Row],[Fator de Modulação Médio DU Mensal]]</calculatedColumnFormula>
    </tableColumn>
    <tableColumn id="17" xr3:uid="{00000000-0010-0000-0000-000011000000}" name="Balanço Energético" totalsRowFunction="average" dataDxfId="32" totalsRowDxfId="4">
      <calculatedColumnFormula>PLDH[[#This Row],[Geração Modulada ]]-PLDH[[#This Row],[Consumo]]-PLDH[[#This Row],[Cessão]]</calculatedColumnFormula>
    </tableColumn>
    <tableColumn id="4" xr3:uid="{00000000-0010-0000-0000-000004000000}" name="Balanço Energético com Redução do Consumo" dataDxfId="31" totalsRowDxfId="3" dataCellStyle="Vírgula">
      <calculatedColumnFormula>PLDH[[#This Row],[Geração Modulada ]]-PLDH[[#This Row],[Cessão]]-PLDH[[#This Row],[Consumo com redução]]</calculatedColumnFormula>
    </tableColumn>
    <tableColumn id="18" xr3:uid="{00000000-0010-0000-0000-000012000000}" name="Resultado Financeiro" totalsRowFunction="sum" dataDxfId="30" totalsRowDxfId="2"/>
    <tableColumn id="5" xr3:uid="{00000000-0010-0000-0000-000005000000}" name="Resultado Financeiro com Redução do Consumo " totalsRowFunction="sum" dataDxfId="29" totalsRowDxfId="1" dataCellStyle="Moeda">
      <calculatedColumnFormula>PLDH[[#This Row],[Balanço Energético com Redução do Consumo]]*PLDH[[#This Row],[PLD_HORA]]</calculatedColumnFormula>
    </tableColumn>
    <tableColumn id="11" xr3:uid="{00000000-0010-0000-0000-00000B000000}" name="Diferença" totalsRowFunction="sum" totalsRowDxfId="0" dataCellStyle="Moeda">
      <calculatedColumnFormula>PLDH[[#This Row],[Resultado Financeiro com Redução do Consumo ]]-PLDH[[#This Row],[Resultado Financeiro]]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DH3" displayName="PLDH3" ref="A6:K31" totalsRowCount="1">
  <autoFilter ref="A6:K30" xr:uid="{00000000-0009-0000-0100-000002000000}"/>
  <sortState xmlns:xlrd2="http://schemas.microsoft.com/office/spreadsheetml/2017/richdata2" ref="A7:K30">
    <sortCondition ref="A6:A30"/>
  </sortState>
  <tableColumns count="11">
    <tableColumn id="1" xr3:uid="{00000000-0010-0000-0100-000001000000}" name="DataHora" totalsRowLabel="Total" dataDxfId="28"/>
    <tableColumn id="6" xr3:uid="{00000000-0010-0000-0100-000006000000}" name="DIA" totalsRowFunction="max"/>
    <tableColumn id="7" xr3:uid="{00000000-0010-0000-0100-000007000000}" name="HORA"/>
    <tableColumn id="8" xr3:uid="{00000000-0010-0000-0100-000008000000}" name="PLD_HORA" totalsRowFunction="average" dataDxfId="27" totalsRowDxfId="26"/>
    <tableColumn id="9" xr3:uid="{00000000-0010-0000-0100-000009000000}" name="Consumo Previsto" totalsRowFunction="sum" dataDxfId="25" totalsRowDxfId="24">
      <calculatedColumnFormula>PLDH[[#This Row],[Consumo]]</calculatedColumnFormula>
    </tableColumn>
    <tableColumn id="11" xr3:uid="{00000000-0010-0000-0100-00000B000000}" name="Coluna1" dataDxfId="23" totalsRowDxfId="22" dataCellStyle="Vírgula"/>
    <tableColumn id="12" xr3:uid="{00000000-0010-0000-0100-00000C000000}" name="Geração Modulada Média DU" totalsRowFunction="average" dataDxfId="21" totalsRowDxfId="20" dataCellStyle="Vírgula"/>
    <tableColumn id="2" xr3:uid="{00000000-0010-0000-0100-000002000000}" name="Fator de Modulação Médio DU Mensal" totalsRowFunction="sum" dataDxfId="19" totalsRowDxfId="18">
      <calculatedColumnFormula>PLDH3[[#This Row],[Geração Modulada Média DU]]/PLDH3[[#Totals],[Geração Modulada Média DU]]/24</calculatedColumnFormula>
    </tableColumn>
    <tableColumn id="10" xr3:uid="{00000000-0010-0000-0100-00000A000000}" name="Geração Modulada " totalsRowFunction="sum" dataDxfId="17" totalsRowDxfId="16">
      <calculatedColumnFormula>'Consumo Flat'!$B$1*24*PLDH3[[#This Row],[Fator de Modulação Médio DU Mensal]]</calculatedColumnFormula>
    </tableColumn>
    <tableColumn id="17" xr3:uid="{00000000-0010-0000-0100-000011000000}" name="Balanço Energético" totalsRowFunction="sum" dataDxfId="15" totalsRowDxfId="14">
      <calculatedColumnFormula>PLDH3[[#This Row],[Geração Modulada ]]-PLDH3[[#This Row],[Consumo Previsto]]</calculatedColumnFormula>
    </tableColumn>
    <tableColumn id="18" xr3:uid="{00000000-0010-0000-0100-000012000000}" name="Resultado Financeito" totalsRowFunction="sum" dataDxfId="13" totalsRowDxfId="12">
      <calculatedColumnFormula>PLDH3[[#This Row],[Balanço Energético]]*PLDH3[[#This Row],[PLD_HORA]]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showGridLines="0" tabSelected="1" workbookViewId="0">
      <selection activeCell="H12" sqref="H12"/>
    </sheetView>
  </sheetViews>
  <sheetFormatPr defaultRowHeight="15" x14ac:dyDescent="0.25"/>
  <cols>
    <col min="1" max="1" width="19.42578125" bestFit="1" customWidth="1"/>
    <col min="2" max="2" width="8" bestFit="1" customWidth="1"/>
    <col min="3" max="3" width="10.42578125" bestFit="1" customWidth="1"/>
    <col min="4" max="4" width="12.7109375" bestFit="1" customWidth="1"/>
    <col min="5" max="5" width="11.5703125" style="1" bestFit="1" customWidth="1"/>
    <col min="6" max="6" width="9.5703125" style="1" bestFit="1" customWidth="1"/>
    <col min="7" max="7" width="14.85546875" style="1" bestFit="1" customWidth="1"/>
    <col min="8" max="8" width="19.7109375" style="1" bestFit="1" customWidth="1"/>
    <col min="9" max="9" width="14" style="1" customWidth="1"/>
    <col min="10" max="10" width="16.7109375" style="1" customWidth="1"/>
    <col min="11" max="11" width="17.7109375" style="1" customWidth="1"/>
    <col min="12" max="12" width="22.140625" style="1" bestFit="1" customWidth="1"/>
    <col min="13" max="13" width="15" bestFit="1" customWidth="1"/>
    <col min="14" max="14" width="15.5703125" bestFit="1" customWidth="1"/>
    <col min="15" max="15" width="19.5703125" bestFit="1" customWidth="1"/>
  </cols>
  <sheetData>
    <row r="1" spans="1:15" x14ac:dyDescent="0.25">
      <c r="A1" s="10" t="s">
        <v>0</v>
      </c>
      <c r="B1" s="12"/>
      <c r="C1" s="11"/>
    </row>
    <row r="2" spans="1:15" x14ac:dyDescent="0.25">
      <c r="A2" s="8" t="s">
        <v>1</v>
      </c>
      <c r="B2" s="13"/>
    </row>
    <row r="5" spans="1:15" ht="60" customHeight="1" x14ac:dyDescent="0.25">
      <c r="A5" s="15" t="s">
        <v>2</v>
      </c>
      <c r="B5" s="15" t="s">
        <v>3</v>
      </c>
      <c r="C5" s="17" t="s">
        <v>4</v>
      </c>
      <c r="D5" s="15" t="s">
        <v>5</v>
      </c>
      <c r="E5" s="18" t="s">
        <v>6</v>
      </c>
      <c r="F5" s="18" t="s">
        <v>7</v>
      </c>
      <c r="G5" s="19" t="s">
        <v>8</v>
      </c>
      <c r="H5" s="19" t="s">
        <v>9</v>
      </c>
      <c r="I5" s="19" t="s">
        <v>10</v>
      </c>
      <c r="J5" s="19" t="s">
        <v>11</v>
      </c>
      <c r="K5" s="19" t="s">
        <v>12</v>
      </c>
      <c r="L5" s="15" t="s">
        <v>13</v>
      </c>
      <c r="M5" s="18" t="s">
        <v>14</v>
      </c>
      <c r="N5" s="15" t="s">
        <v>15</v>
      </c>
    </row>
    <row r="6" spans="1:15" x14ac:dyDescent="0.25">
      <c r="B6">
        <v>0</v>
      </c>
      <c r="D6" s="25">
        <f t="shared" ref="D6:D29" si="0">$B$1</f>
        <v>0</v>
      </c>
      <c r="E6" s="25">
        <f>PLDH[[#This Row],[Consumo]]</f>
        <v>0</v>
      </c>
      <c r="F6" s="2">
        <f>$B$2-PLDH[[#This Row],[Consumo]]</f>
        <v>0</v>
      </c>
      <c r="G6" s="27">
        <v>0</v>
      </c>
      <c r="H6" s="2">
        <f>PLDH[[#This Row],[Geração média]]/PLDH[[#Totals],[Geração média]]/24</f>
        <v>0</v>
      </c>
      <c r="I6" s="2">
        <f>$B$2*24*PLDH[[#This Row],[Fator de Modulação Médio DU Mensal]]</f>
        <v>0</v>
      </c>
      <c r="J6" s="2">
        <f>PLDH[[#This Row],[Geração Modulada ]]-PLDH[[#This Row],[Consumo]]-PLDH[[#This Row],[Cessão]]</f>
        <v>0</v>
      </c>
      <c r="K6" s="2">
        <f>PLDH[[#This Row],[Geração Modulada ]]-PLDH[[#This Row],[Cessão]]-PLDH[[#This Row],[Consumo com redução]]</f>
        <v>0</v>
      </c>
      <c r="L6" s="20">
        <f>PLDH[[#This Row],[Balanço Energético]]*PLDH[[#This Row],[PLD_HORA]]</f>
        <v>0</v>
      </c>
      <c r="M6" s="5">
        <f>PLDH[[#This Row],[Balanço Energético com Redução do Consumo]]*PLDH[[#This Row],[PLD_HORA]]</f>
        <v>0</v>
      </c>
      <c r="N6" s="5">
        <f>PLDH[[#This Row],[Resultado Financeiro com Redução do Consumo ]]-PLDH[[#This Row],[Resultado Financeiro]]</f>
        <v>0</v>
      </c>
    </row>
    <row r="7" spans="1:15" x14ac:dyDescent="0.25">
      <c r="B7">
        <v>1</v>
      </c>
      <c r="D7" s="25">
        <f t="shared" si="0"/>
        <v>0</v>
      </c>
      <c r="E7" s="25">
        <f>PLDH[[#This Row],[Consumo]]</f>
        <v>0</v>
      </c>
      <c r="F7" s="2">
        <f>$B$2-PLDH[[#This Row],[Consumo]]</f>
        <v>0</v>
      </c>
      <c r="G7" s="27">
        <v>0</v>
      </c>
      <c r="H7" s="2">
        <f>PLDH[[#This Row],[Geração média]]/PLDH[[#Totals],[Geração média]]/24</f>
        <v>0</v>
      </c>
      <c r="I7" s="2">
        <f>$B$2*24*PLDH[[#This Row],[Fator de Modulação Médio DU Mensal]]</f>
        <v>0</v>
      </c>
      <c r="J7" s="2">
        <f>PLDH[[#This Row],[Geração Modulada ]]-PLDH[[#This Row],[Consumo]]-PLDH[[#This Row],[Cessão]]</f>
        <v>0</v>
      </c>
      <c r="K7" s="2">
        <f>PLDH[[#This Row],[Geração Modulada ]]-PLDH[[#This Row],[Cessão]]-PLDH[[#This Row],[Consumo com redução]]</f>
        <v>0</v>
      </c>
      <c r="L7" s="20">
        <f>PLDH[[#This Row],[Balanço Energético]]*PLDH[[#This Row],[PLD_HORA]]</f>
        <v>0</v>
      </c>
      <c r="M7" s="5">
        <f>PLDH[[#This Row],[Balanço Energético com Redução do Consumo]]*PLDH[[#This Row],[PLD_HORA]]</f>
        <v>0</v>
      </c>
      <c r="N7" s="5">
        <f>PLDH[[#This Row],[Resultado Financeiro com Redução do Consumo ]]-PLDH[[#This Row],[Resultado Financeiro]]</f>
        <v>0</v>
      </c>
      <c r="O7" s="16"/>
    </row>
    <row r="8" spans="1:15" x14ac:dyDescent="0.25">
      <c r="B8">
        <v>2</v>
      </c>
      <c r="D8" s="25">
        <f t="shared" si="0"/>
        <v>0</v>
      </c>
      <c r="E8" s="25">
        <f>PLDH[[#This Row],[Consumo]]</f>
        <v>0</v>
      </c>
      <c r="F8" s="2">
        <f>$B$2-PLDH[[#This Row],[Consumo]]</f>
        <v>0</v>
      </c>
      <c r="G8" s="27">
        <v>0</v>
      </c>
      <c r="H8" s="2">
        <f>PLDH[[#This Row],[Geração média]]/PLDH[[#Totals],[Geração média]]/24</f>
        <v>0</v>
      </c>
      <c r="I8" s="2">
        <f>$B$2*24*PLDH[[#This Row],[Fator de Modulação Médio DU Mensal]]</f>
        <v>0</v>
      </c>
      <c r="J8" s="2">
        <f>PLDH[[#This Row],[Geração Modulada ]]-PLDH[[#This Row],[Consumo]]-PLDH[[#This Row],[Cessão]]</f>
        <v>0</v>
      </c>
      <c r="K8" s="2">
        <f>PLDH[[#This Row],[Geração Modulada ]]-PLDH[[#This Row],[Cessão]]-PLDH[[#This Row],[Consumo com redução]]</f>
        <v>0</v>
      </c>
      <c r="L8" s="20">
        <f>PLDH[[#This Row],[Balanço Energético]]*PLDH[[#This Row],[PLD_HORA]]</f>
        <v>0</v>
      </c>
      <c r="M8" s="5">
        <f>PLDH[[#This Row],[Balanço Energético com Redução do Consumo]]*PLDH[[#This Row],[PLD_HORA]]</f>
        <v>0</v>
      </c>
      <c r="N8" s="5">
        <f>PLDH[[#This Row],[Resultado Financeiro com Redução do Consumo ]]-PLDH[[#This Row],[Resultado Financeiro]]</f>
        <v>0</v>
      </c>
    </row>
    <row r="9" spans="1:15" x14ac:dyDescent="0.25">
      <c r="B9">
        <v>3</v>
      </c>
      <c r="D9" s="25">
        <f t="shared" si="0"/>
        <v>0</v>
      </c>
      <c r="E9" s="25">
        <f>PLDH[[#This Row],[Consumo]]</f>
        <v>0</v>
      </c>
      <c r="F9" s="2">
        <f>$B$2-PLDH[[#This Row],[Consumo]]</f>
        <v>0</v>
      </c>
      <c r="G9" s="27">
        <v>0</v>
      </c>
      <c r="H9" s="2">
        <f>PLDH[[#This Row],[Geração média]]/PLDH[[#Totals],[Geração média]]/24</f>
        <v>0</v>
      </c>
      <c r="I9" s="2">
        <f>$B$2*24*PLDH[[#This Row],[Fator de Modulação Médio DU Mensal]]</f>
        <v>0</v>
      </c>
      <c r="J9" s="2">
        <f>PLDH[[#This Row],[Geração Modulada ]]-PLDH[[#This Row],[Consumo]]-PLDH[[#This Row],[Cessão]]</f>
        <v>0</v>
      </c>
      <c r="K9" s="2">
        <f>PLDH[[#This Row],[Geração Modulada ]]-PLDH[[#This Row],[Cessão]]-PLDH[[#This Row],[Consumo com redução]]</f>
        <v>0</v>
      </c>
      <c r="L9" s="20">
        <f>PLDH[[#This Row],[Balanço Energético]]*PLDH[[#This Row],[PLD_HORA]]</f>
        <v>0</v>
      </c>
      <c r="M9" s="5">
        <f>PLDH[[#This Row],[Balanço Energético com Redução do Consumo]]*PLDH[[#This Row],[PLD_HORA]]</f>
        <v>0</v>
      </c>
      <c r="N9" s="5">
        <f>PLDH[[#This Row],[Resultado Financeiro com Redução do Consumo ]]-PLDH[[#This Row],[Resultado Financeiro]]</f>
        <v>0</v>
      </c>
    </row>
    <row r="10" spans="1:15" x14ac:dyDescent="0.25">
      <c r="B10">
        <v>4</v>
      </c>
      <c r="D10" s="25">
        <f t="shared" si="0"/>
        <v>0</v>
      </c>
      <c r="E10" s="25">
        <f>PLDH[[#This Row],[Consumo]]</f>
        <v>0</v>
      </c>
      <c r="F10" s="2">
        <f>$B$2-PLDH[[#This Row],[Consumo]]</f>
        <v>0</v>
      </c>
      <c r="G10" s="27">
        <v>0</v>
      </c>
      <c r="H10" s="2">
        <f>PLDH[[#This Row],[Geração média]]/PLDH[[#Totals],[Geração média]]/24</f>
        <v>0</v>
      </c>
      <c r="I10" s="2">
        <f>$B$2*24*PLDH[[#This Row],[Fator de Modulação Médio DU Mensal]]</f>
        <v>0</v>
      </c>
      <c r="J10" s="2">
        <f>PLDH[[#This Row],[Geração Modulada ]]-PLDH[[#This Row],[Consumo]]-PLDH[[#This Row],[Cessão]]</f>
        <v>0</v>
      </c>
      <c r="K10" s="2">
        <f>PLDH[[#This Row],[Geração Modulada ]]-PLDH[[#This Row],[Cessão]]-PLDH[[#This Row],[Consumo com redução]]</f>
        <v>0</v>
      </c>
      <c r="L10" s="20">
        <f>PLDH[[#This Row],[Balanço Energético]]*PLDH[[#This Row],[PLD_HORA]]</f>
        <v>0</v>
      </c>
      <c r="M10" s="5">
        <f>PLDH[[#This Row],[Balanço Energético com Redução do Consumo]]*PLDH[[#This Row],[PLD_HORA]]</f>
        <v>0</v>
      </c>
      <c r="N10" s="5">
        <f>PLDH[[#This Row],[Resultado Financeiro com Redução do Consumo ]]-PLDH[[#This Row],[Resultado Financeiro]]</f>
        <v>0</v>
      </c>
    </row>
    <row r="11" spans="1:15" x14ac:dyDescent="0.25">
      <c r="B11">
        <v>5</v>
      </c>
      <c r="D11" s="25">
        <f t="shared" si="0"/>
        <v>0</v>
      </c>
      <c r="E11" s="25">
        <f>PLDH[[#This Row],[Consumo]]</f>
        <v>0</v>
      </c>
      <c r="F11" s="2">
        <f>$B$2-PLDH[[#This Row],[Consumo]]</f>
        <v>0</v>
      </c>
      <c r="G11" s="27">
        <v>0.34303356475976815</v>
      </c>
      <c r="H11" s="2">
        <f>PLDH[[#This Row],[Geração média]]/PLDH[[#Totals],[Geração média]]/24</f>
        <v>8.9236533470087777E-5</v>
      </c>
      <c r="I11" s="2">
        <f>$B$2*24*PLDH[[#This Row],[Fator de Modulação Médio DU Mensal]]</f>
        <v>0</v>
      </c>
      <c r="J11" s="2">
        <f>PLDH[[#This Row],[Geração Modulada ]]-PLDH[[#This Row],[Consumo]]-PLDH[[#This Row],[Cessão]]</f>
        <v>0</v>
      </c>
      <c r="K11" s="2">
        <f>PLDH[[#This Row],[Geração Modulada ]]-PLDH[[#This Row],[Cessão]]-PLDH[[#This Row],[Consumo com redução]]</f>
        <v>0</v>
      </c>
      <c r="L11" s="20">
        <f>PLDH[[#This Row],[Balanço Energético]]*PLDH[[#This Row],[PLD_HORA]]</f>
        <v>0</v>
      </c>
      <c r="M11" s="5">
        <f>PLDH[[#This Row],[Balanço Energético com Redução do Consumo]]*PLDH[[#This Row],[PLD_HORA]]</f>
        <v>0</v>
      </c>
      <c r="N11" s="5">
        <f>PLDH[[#This Row],[Resultado Financeiro com Redução do Consumo ]]-PLDH[[#This Row],[Resultado Financeiro]]</f>
        <v>0</v>
      </c>
    </row>
    <row r="12" spans="1:15" x14ac:dyDescent="0.25">
      <c r="B12">
        <v>6</v>
      </c>
      <c r="D12" s="25">
        <f t="shared" si="0"/>
        <v>0</v>
      </c>
      <c r="E12" s="25">
        <f>PLDH[[#This Row],[Consumo]]</f>
        <v>0</v>
      </c>
      <c r="F12" s="2">
        <f>$B$2-PLDH[[#This Row],[Consumo]]</f>
        <v>0</v>
      </c>
      <c r="G12" s="27">
        <v>66.78166319338473</v>
      </c>
      <c r="H12" s="2">
        <f>PLDH[[#This Row],[Geração média]]/PLDH[[#Totals],[Geração média]]/24</f>
        <v>1.7372539410008006E-2</v>
      </c>
      <c r="I12" s="2">
        <f>$B$2*24*PLDH[[#This Row],[Fator de Modulação Médio DU Mensal]]</f>
        <v>0</v>
      </c>
      <c r="J12" s="2">
        <f>PLDH[[#This Row],[Geração Modulada ]]-PLDH[[#This Row],[Consumo]]-PLDH[[#This Row],[Cessão]]</f>
        <v>0</v>
      </c>
      <c r="K12" s="2">
        <f>PLDH[[#This Row],[Geração Modulada ]]-PLDH[[#This Row],[Cessão]]-PLDH[[#This Row],[Consumo com redução]]</f>
        <v>0</v>
      </c>
      <c r="L12" s="20">
        <f>PLDH[[#This Row],[Balanço Energético]]*PLDH[[#This Row],[PLD_HORA]]</f>
        <v>0</v>
      </c>
      <c r="M12" s="5">
        <f>PLDH[[#This Row],[Balanço Energético com Redução do Consumo]]*PLDH[[#This Row],[PLD_HORA]]</f>
        <v>0</v>
      </c>
      <c r="N12" s="5">
        <f>PLDH[[#This Row],[Resultado Financeiro com Redução do Consumo ]]-PLDH[[#This Row],[Resultado Financeiro]]</f>
        <v>0</v>
      </c>
    </row>
    <row r="13" spans="1:15" x14ac:dyDescent="0.25">
      <c r="B13">
        <v>7</v>
      </c>
      <c r="D13" s="25">
        <f t="shared" si="0"/>
        <v>0</v>
      </c>
      <c r="E13" s="25">
        <f>PLDH[[#This Row],[Consumo]]</f>
        <v>0</v>
      </c>
      <c r="F13" s="2">
        <f>$B$2-PLDH[[#This Row],[Consumo]]</f>
        <v>0</v>
      </c>
      <c r="G13" s="27">
        <v>226.57306541069011</v>
      </c>
      <c r="H13" s="2">
        <f>PLDH[[#This Row],[Geração média]]/PLDH[[#Totals],[Geração média]]/24</f>
        <v>5.8940573203385617E-2</v>
      </c>
      <c r="I13" s="2">
        <f>$B$2*24*PLDH[[#This Row],[Fator de Modulação Médio DU Mensal]]</f>
        <v>0</v>
      </c>
      <c r="J13" s="2">
        <f>PLDH[[#This Row],[Geração Modulada ]]-PLDH[[#This Row],[Consumo]]-PLDH[[#This Row],[Cessão]]</f>
        <v>0</v>
      </c>
      <c r="K13" s="2">
        <f>PLDH[[#This Row],[Geração Modulada ]]-PLDH[[#This Row],[Cessão]]-PLDH[[#This Row],[Consumo com redução]]</f>
        <v>0</v>
      </c>
      <c r="L13" s="20">
        <f>PLDH[[#This Row],[Balanço Energético]]*PLDH[[#This Row],[PLD_HORA]]</f>
        <v>0</v>
      </c>
      <c r="M13" s="5">
        <f>PLDH[[#This Row],[Balanço Energético com Redução do Consumo]]*PLDH[[#This Row],[PLD_HORA]]</f>
        <v>0</v>
      </c>
      <c r="N13" s="5">
        <f>PLDH[[#This Row],[Resultado Financeiro com Redução do Consumo ]]-PLDH[[#This Row],[Resultado Financeiro]]</f>
        <v>0</v>
      </c>
    </row>
    <row r="14" spans="1:15" x14ac:dyDescent="0.25">
      <c r="B14">
        <v>8</v>
      </c>
      <c r="D14" s="25">
        <f t="shared" si="0"/>
        <v>0</v>
      </c>
      <c r="E14" s="25">
        <f>PLDH[[#This Row],[Consumo]]</f>
        <v>0</v>
      </c>
      <c r="F14" s="2">
        <f>$B$2-PLDH[[#This Row],[Consumo]]</f>
        <v>0</v>
      </c>
      <c r="G14" s="27">
        <v>334.8433605168031</v>
      </c>
      <c r="H14" s="2">
        <f>PLDH[[#This Row],[Geração média]]/PLDH[[#Totals],[Geração média]]/24</f>
        <v>8.7105938944837633E-2</v>
      </c>
      <c r="I14" s="2">
        <f>$B$2*24*PLDH[[#This Row],[Fator de Modulação Médio DU Mensal]]</f>
        <v>0</v>
      </c>
      <c r="J14" s="2">
        <f>PLDH[[#This Row],[Geração Modulada ]]-PLDH[[#This Row],[Consumo]]-PLDH[[#This Row],[Cessão]]</f>
        <v>0</v>
      </c>
      <c r="K14" s="2">
        <f>PLDH[[#This Row],[Geração Modulada ]]-PLDH[[#This Row],[Cessão]]-PLDH[[#This Row],[Consumo com redução]]</f>
        <v>0</v>
      </c>
      <c r="L14" s="20">
        <f>PLDH[[#This Row],[Balanço Energético]]*PLDH[[#This Row],[PLD_HORA]]</f>
        <v>0</v>
      </c>
      <c r="M14" s="5">
        <f>PLDH[[#This Row],[Balanço Energético com Redução do Consumo]]*PLDH[[#This Row],[PLD_HORA]]</f>
        <v>0</v>
      </c>
      <c r="N14" s="5">
        <f>PLDH[[#This Row],[Resultado Financeiro com Redução do Consumo ]]-PLDH[[#This Row],[Resultado Financeiro]]</f>
        <v>0</v>
      </c>
    </row>
    <row r="15" spans="1:15" x14ac:dyDescent="0.25">
      <c r="B15">
        <v>9</v>
      </c>
      <c r="D15" s="25">
        <f t="shared" si="0"/>
        <v>0</v>
      </c>
      <c r="E15" s="25">
        <f>PLDH[[#This Row],[Consumo]]</f>
        <v>0</v>
      </c>
      <c r="F15" s="2">
        <f>$B$2-PLDH[[#This Row],[Consumo]]</f>
        <v>0</v>
      </c>
      <c r="G15" s="27">
        <v>377.40237472052826</v>
      </c>
      <c r="H15" s="2">
        <f>PLDH[[#This Row],[Geração média]]/PLDH[[#Totals],[Geração média]]/24</f>
        <v>9.8177213845019276E-2</v>
      </c>
      <c r="I15" s="2">
        <f>$B$2*24*PLDH[[#This Row],[Fator de Modulação Médio DU Mensal]]</f>
        <v>0</v>
      </c>
      <c r="J15" s="2">
        <f>PLDH[[#This Row],[Geração Modulada ]]-PLDH[[#This Row],[Consumo]]-PLDH[[#This Row],[Cessão]]</f>
        <v>0</v>
      </c>
      <c r="K15" s="2">
        <f>PLDH[[#This Row],[Geração Modulada ]]-PLDH[[#This Row],[Cessão]]-PLDH[[#This Row],[Consumo com redução]]</f>
        <v>0</v>
      </c>
      <c r="L15" s="20">
        <f>PLDH[[#This Row],[Balanço Energético]]*PLDH[[#This Row],[PLD_HORA]]</f>
        <v>0</v>
      </c>
      <c r="M15" s="5">
        <f>PLDH[[#This Row],[Balanço Energético com Redução do Consumo]]*PLDH[[#This Row],[PLD_HORA]]</f>
        <v>0</v>
      </c>
      <c r="N15" s="5">
        <f>PLDH[[#This Row],[Resultado Financeiro com Redução do Consumo ]]-PLDH[[#This Row],[Resultado Financeiro]]</f>
        <v>0</v>
      </c>
    </row>
    <row r="16" spans="1:15" x14ac:dyDescent="0.25">
      <c r="B16">
        <v>10</v>
      </c>
      <c r="D16" s="25">
        <f t="shared" si="0"/>
        <v>0</v>
      </c>
      <c r="E16" s="25">
        <f>PLDH[[#This Row],[Consumo]]</f>
        <v>0</v>
      </c>
      <c r="F16" s="2">
        <f>$B$2-PLDH[[#This Row],[Consumo]]</f>
        <v>0</v>
      </c>
      <c r="G16" s="27">
        <v>415.84740851334209</v>
      </c>
      <c r="H16" s="2">
        <f>PLDH[[#This Row],[Geração média]]/PLDH[[#Totals],[Geração média]]/24</f>
        <v>0.1081782804963648</v>
      </c>
      <c r="I16" s="2">
        <f>$B$2*24*PLDH[[#This Row],[Fator de Modulação Médio DU Mensal]]</f>
        <v>0</v>
      </c>
      <c r="J16" s="2">
        <f>PLDH[[#This Row],[Geração Modulada ]]-PLDH[[#This Row],[Consumo]]-PLDH[[#This Row],[Cessão]]</f>
        <v>0</v>
      </c>
      <c r="K16" s="2">
        <f>PLDH[[#This Row],[Geração Modulada ]]-PLDH[[#This Row],[Cessão]]-PLDH[[#This Row],[Consumo com redução]]</f>
        <v>0</v>
      </c>
      <c r="L16" s="20">
        <f>PLDH[[#This Row],[Balanço Energético]]*PLDH[[#This Row],[PLD_HORA]]</f>
        <v>0</v>
      </c>
      <c r="M16" s="5">
        <f>PLDH[[#This Row],[Balanço Energético com Redução do Consumo]]*PLDH[[#This Row],[PLD_HORA]]</f>
        <v>0</v>
      </c>
      <c r="N16" s="5">
        <f>PLDH[[#This Row],[Resultado Financeiro com Redução do Consumo ]]-PLDH[[#This Row],[Resultado Financeiro]]</f>
        <v>0</v>
      </c>
    </row>
    <row r="17" spans="1:14" x14ac:dyDescent="0.25">
      <c r="B17">
        <v>11</v>
      </c>
      <c r="D17" s="25">
        <f t="shared" si="0"/>
        <v>0</v>
      </c>
      <c r="E17" s="25">
        <f>PLDH[[#This Row],[Consumo]]</f>
        <v>0</v>
      </c>
      <c r="F17" s="2">
        <f>$B$2-PLDH[[#This Row],[Consumo]]</f>
        <v>0</v>
      </c>
      <c r="G17" s="27">
        <v>433.16245990707176</v>
      </c>
      <c r="H17" s="2">
        <f>PLDH[[#This Row],[Geração média]]/PLDH[[#Totals],[Geração média]]/24</f>
        <v>0.11268260695874736</v>
      </c>
      <c r="I17" s="2">
        <f>$B$2*24*PLDH[[#This Row],[Fator de Modulação Médio DU Mensal]]</f>
        <v>0</v>
      </c>
      <c r="J17" s="2">
        <f>PLDH[[#This Row],[Geração Modulada ]]-PLDH[[#This Row],[Consumo]]-PLDH[[#This Row],[Cessão]]</f>
        <v>0</v>
      </c>
      <c r="K17" s="2">
        <f>PLDH[[#This Row],[Geração Modulada ]]-PLDH[[#This Row],[Cessão]]-PLDH[[#This Row],[Consumo com redução]]</f>
        <v>0</v>
      </c>
      <c r="L17" s="20">
        <f>PLDH[[#This Row],[Balanço Energético]]*PLDH[[#This Row],[PLD_HORA]]</f>
        <v>0</v>
      </c>
      <c r="M17" s="5">
        <f>PLDH[[#This Row],[Balanço Energético com Redução do Consumo]]*PLDH[[#This Row],[PLD_HORA]]</f>
        <v>0</v>
      </c>
      <c r="N17" s="5">
        <f>PLDH[[#This Row],[Resultado Financeiro com Redução do Consumo ]]-PLDH[[#This Row],[Resultado Financeiro]]</f>
        <v>0</v>
      </c>
    </row>
    <row r="18" spans="1:14" x14ac:dyDescent="0.25">
      <c r="B18">
        <v>12</v>
      </c>
      <c r="D18" s="25">
        <f t="shared" si="0"/>
        <v>0</v>
      </c>
      <c r="E18" s="25">
        <f>PLDH[[#This Row],[Consumo]]</f>
        <v>0</v>
      </c>
      <c r="F18" s="2">
        <f>$B$2-PLDH[[#This Row],[Consumo]]</f>
        <v>0</v>
      </c>
      <c r="G18" s="27">
        <v>445.69244569954611</v>
      </c>
      <c r="H18" s="2">
        <f>PLDH[[#This Row],[Geração média]]/PLDH[[#Totals],[Geração média]]/24</f>
        <v>0.11594214949748671</v>
      </c>
      <c r="I18" s="2">
        <f>$B$2*24*PLDH[[#This Row],[Fator de Modulação Médio DU Mensal]]</f>
        <v>0</v>
      </c>
      <c r="J18" s="2">
        <f>PLDH[[#This Row],[Geração Modulada ]]-PLDH[[#This Row],[Consumo]]-PLDH[[#This Row],[Cessão]]</f>
        <v>0</v>
      </c>
      <c r="K18" s="2">
        <f>PLDH[[#This Row],[Geração Modulada ]]-PLDH[[#This Row],[Cessão]]-PLDH[[#This Row],[Consumo com redução]]</f>
        <v>0</v>
      </c>
      <c r="L18" s="20">
        <f>PLDH[[#This Row],[Balanço Energético]]*PLDH[[#This Row],[PLD_HORA]]</f>
        <v>0</v>
      </c>
      <c r="M18" s="5">
        <f>PLDH[[#This Row],[Balanço Energético com Redução do Consumo]]*PLDH[[#This Row],[PLD_HORA]]</f>
        <v>0</v>
      </c>
      <c r="N18" s="5">
        <f>PLDH[[#This Row],[Resultado Financeiro com Redução do Consumo ]]-PLDH[[#This Row],[Resultado Financeiro]]</f>
        <v>0</v>
      </c>
    </row>
    <row r="19" spans="1:14" x14ac:dyDescent="0.25">
      <c r="B19">
        <v>13</v>
      </c>
      <c r="D19" s="25">
        <f t="shared" si="0"/>
        <v>0</v>
      </c>
      <c r="E19" s="25">
        <f>PLDH[[#This Row],[Consumo]]</f>
        <v>0</v>
      </c>
      <c r="F19" s="2">
        <f>$B$2-PLDH[[#This Row],[Consumo]]</f>
        <v>0</v>
      </c>
      <c r="G19" s="27">
        <v>418.89302882549219</v>
      </c>
      <c r="H19" s="2">
        <f>PLDH[[#This Row],[Geração média]]/PLDH[[#Totals],[Geração média]]/24</f>
        <v>0.10897056622826597</v>
      </c>
      <c r="I19" s="2">
        <f>$B$2*24*PLDH[[#This Row],[Fator de Modulação Médio DU Mensal]]</f>
        <v>0</v>
      </c>
      <c r="J19" s="2">
        <f>PLDH[[#This Row],[Geração Modulada ]]-PLDH[[#This Row],[Consumo]]-PLDH[[#This Row],[Cessão]]</f>
        <v>0</v>
      </c>
      <c r="K19" s="2">
        <f>PLDH[[#This Row],[Geração Modulada ]]-PLDH[[#This Row],[Cessão]]-PLDH[[#This Row],[Consumo com redução]]</f>
        <v>0</v>
      </c>
      <c r="L19" s="20">
        <f>PLDH[[#This Row],[Balanço Energético]]*PLDH[[#This Row],[PLD_HORA]]</f>
        <v>0</v>
      </c>
      <c r="M19" s="5">
        <f>PLDH[[#This Row],[Balanço Energético com Redução do Consumo]]*PLDH[[#This Row],[PLD_HORA]]</f>
        <v>0</v>
      </c>
      <c r="N19" s="5">
        <f>PLDH[[#This Row],[Resultado Financeiro com Redução do Consumo ]]-PLDH[[#This Row],[Resultado Financeiro]]</f>
        <v>0</v>
      </c>
    </row>
    <row r="20" spans="1:14" x14ac:dyDescent="0.25">
      <c r="B20">
        <v>14</v>
      </c>
      <c r="D20" s="25">
        <f t="shared" si="0"/>
        <v>0</v>
      </c>
      <c r="E20" s="25">
        <f>PLDH[[#This Row],[Consumo]]</f>
        <v>0</v>
      </c>
      <c r="F20" s="2">
        <f>$B$2-PLDH[[#This Row],[Consumo]]</f>
        <v>0</v>
      </c>
      <c r="G20" s="27">
        <v>375.32769351750812</v>
      </c>
      <c r="H20" s="2">
        <f>PLDH[[#This Row],[Geração média]]/PLDH[[#Totals],[Geração média]]/24</f>
        <v>9.7637507595740969E-2</v>
      </c>
      <c r="I20" s="2">
        <f>$B$2*24*PLDH[[#This Row],[Fator de Modulação Médio DU Mensal]]</f>
        <v>0</v>
      </c>
      <c r="J20" s="2">
        <f>PLDH[[#This Row],[Geração Modulada ]]-PLDH[[#This Row],[Consumo]]-PLDH[[#This Row],[Cessão]]</f>
        <v>0</v>
      </c>
      <c r="K20" s="2">
        <f>PLDH[[#This Row],[Geração Modulada ]]-PLDH[[#This Row],[Cessão]]-PLDH[[#This Row],[Consumo com redução]]</f>
        <v>0</v>
      </c>
      <c r="L20" s="20">
        <f>PLDH[[#This Row],[Balanço Energético]]*PLDH[[#This Row],[PLD_HORA]]</f>
        <v>0</v>
      </c>
      <c r="M20" s="5">
        <f>PLDH[[#This Row],[Balanço Energético com Redução do Consumo]]*PLDH[[#This Row],[PLD_HORA]]</f>
        <v>0</v>
      </c>
      <c r="N20" s="5">
        <f>PLDH[[#This Row],[Resultado Financeiro com Redução do Consumo ]]-PLDH[[#This Row],[Resultado Financeiro]]</f>
        <v>0</v>
      </c>
    </row>
    <row r="21" spans="1:14" x14ac:dyDescent="0.25">
      <c r="B21">
        <v>15</v>
      </c>
      <c r="D21" s="25">
        <f t="shared" si="0"/>
        <v>0</v>
      </c>
      <c r="E21" s="25">
        <f>PLDH[[#This Row],[Consumo]]</f>
        <v>0</v>
      </c>
      <c r="F21" s="2">
        <f>$B$2-PLDH[[#This Row],[Consumo]]</f>
        <v>0</v>
      </c>
      <c r="G21" s="27">
        <v>356.45382996870927</v>
      </c>
      <c r="H21" s="2">
        <f>PLDH[[#This Row],[Geração média]]/PLDH[[#Totals],[Geração média]]/24</f>
        <v>9.2727672730275948E-2</v>
      </c>
      <c r="I21" s="2">
        <f>$B$2*24*PLDH[[#This Row],[Fator de Modulação Médio DU Mensal]]</f>
        <v>0</v>
      </c>
      <c r="J21" s="2">
        <f>PLDH[[#This Row],[Geração Modulada ]]-PLDH[[#This Row],[Consumo]]-PLDH[[#This Row],[Cessão]]</f>
        <v>0</v>
      </c>
      <c r="K21" s="2">
        <f>PLDH[[#This Row],[Geração Modulada ]]-PLDH[[#This Row],[Cessão]]-PLDH[[#This Row],[Consumo com redução]]</f>
        <v>0</v>
      </c>
      <c r="L21" s="20">
        <f>PLDH[[#This Row],[Balanço Energético]]*PLDH[[#This Row],[PLD_HORA]]</f>
        <v>0</v>
      </c>
      <c r="M21" s="5">
        <f>PLDH[[#This Row],[Balanço Energético com Redução do Consumo]]*PLDH[[#This Row],[PLD_HORA]]</f>
        <v>0</v>
      </c>
      <c r="N21" s="5">
        <f>PLDH[[#This Row],[Resultado Financeiro com Redução do Consumo ]]-PLDH[[#This Row],[Resultado Financeiro]]</f>
        <v>0</v>
      </c>
    </row>
    <row r="22" spans="1:14" x14ac:dyDescent="0.25">
      <c r="B22">
        <v>16</v>
      </c>
      <c r="D22" s="25">
        <f t="shared" si="0"/>
        <v>0</v>
      </c>
      <c r="E22" s="25">
        <f>PLDH[[#This Row],[Consumo]]</f>
        <v>0</v>
      </c>
      <c r="F22" s="2">
        <f>$B$2-PLDH[[#This Row],[Consumo]]</f>
        <v>0</v>
      </c>
      <c r="G22" s="27">
        <v>266.90166012690139</v>
      </c>
      <c r="H22" s="2">
        <f>PLDH[[#This Row],[Geração média]]/PLDH[[#Totals],[Geração média]]/24</f>
        <v>6.9431628195963616E-2</v>
      </c>
      <c r="I22" s="2">
        <f>$B$2*24*PLDH[[#This Row],[Fator de Modulação Médio DU Mensal]]</f>
        <v>0</v>
      </c>
      <c r="J22" s="2">
        <f>PLDH[[#This Row],[Geração Modulada ]]-PLDH[[#This Row],[Consumo]]-PLDH[[#This Row],[Cessão]]</f>
        <v>0</v>
      </c>
      <c r="K22" s="2">
        <f>PLDH[[#This Row],[Geração Modulada ]]-PLDH[[#This Row],[Cessão]]-PLDH[[#This Row],[Consumo com redução]]</f>
        <v>0</v>
      </c>
      <c r="L22" s="20">
        <f>PLDH[[#This Row],[Balanço Energético]]*PLDH[[#This Row],[PLD_HORA]]</f>
        <v>0</v>
      </c>
      <c r="M22" s="5">
        <f>PLDH[[#This Row],[Balanço Energético com Redução do Consumo]]*PLDH[[#This Row],[PLD_HORA]]</f>
        <v>0</v>
      </c>
      <c r="N22" s="5">
        <f>PLDH[[#This Row],[Resultado Financeiro com Redução do Consumo ]]-PLDH[[#This Row],[Resultado Financeiro]]</f>
        <v>0</v>
      </c>
    </row>
    <row r="23" spans="1:14" x14ac:dyDescent="0.25">
      <c r="B23">
        <v>17</v>
      </c>
      <c r="D23" s="25">
        <f t="shared" si="0"/>
        <v>0</v>
      </c>
      <c r="E23" s="25">
        <f>PLDH[[#This Row],[Consumo]]</f>
        <v>0</v>
      </c>
      <c r="F23" s="2">
        <f>$B$2-PLDH[[#This Row],[Consumo]]</f>
        <v>0</v>
      </c>
      <c r="G23" s="27">
        <v>118.86522100715946</v>
      </c>
      <c r="H23" s="2">
        <f>PLDH[[#This Row],[Geração média]]/PLDH[[#Totals],[Geração média]]/24</f>
        <v>3.0921523030153334E-2</v>
      </c>
      <c r="I23" s="2">
        <f>$B$2*24*PLDH[[#This Row],[Fator de Modulação Médio DU Mensal]]</f>
        <v>0</v>
      </c>
      <c r="J23" s="2">
        <f>PLDH[[#This Row],[Geração Modulada ]]-PLDH[[#This Row],[Consumo]]-PLDH[[#This Row],[Cessão]]</f>
        <v>0</v>
      </c>
      <c r="K23" s="2">
        <f>PLDH[[#This Row],[Geração Modulada ]]-PLDH[[#This Row],[Cessão]]-PLDH[[#This Row],[Consumo com redução]]</f>
        <v>0</v>
      </c>
      <c r="L23" s="20">
        <f>PLDH[[#This Row],[Balanço Energético]]*PLDH[[#This Row],[PLD_HORA]]</f>
        <v>0</v>
      </c>
      <c r="M23" s="5">
        <f>PLDH[[#This Row],[Balanço Energético com Redução do Consumo]]*PLDH[[#This Row],[PLD_HORA]]</f>
        <v>0</v>
      </c>
      <c r="N23" s="5">
        <f>PLDH[[#This Row],[Resultado Financeiro com Redução do Consumo ]]-PLDH[[#This Row],[Resultado Financeiro]]</f>
        <v>0</v>
      </c>
    </row>
    <row r="24" spans="1:14" x14ac:dyDescent="0.25">
      <c r="B24">
        <v>18</v>
      </c>
      <c r="D24" s="25">
        <f t="shared" si="0"/>
        <v>0</v>
      </c>
      <c r="E24" s="25">
        <f>PLDH[[#This Row],[Consumo]]</f>
        <v>0</v>
      </c>
      <c r="F24" s="2">
        <f>$B$2-PLDH[[#This Row],[Consumo]]</f>
        <v>0</v>
      </c>
      <c r="G24" s="27">
        <v>7.0061035752376029</v>
      </c>
      <c r="H24" s="2">
        <f>PLDH[[#This Row],[Geração média]]/PLDH[[#Totals],[Geração média]]/24</f>
        <v>1.8225633302806092E-3</v>
      </c>
      <c r="I24" s="2">
        <f>$B$2*24*PLDH[[#This Row],[Fator de Modulação Médio DU Mensal]]</f>
        <v>0</v>
      </c>
      <c r="J24" s="2">
        <f>PLDH[[#This Row],[Geração Modulada ]]-PLDH[[#This Row],[Consumo]]-PLDH[[#This Row],[Cessão]]</f>
        <v>0</v>
      </c>
      <c r="K24" s="2">
        <f>PLDH[[#This Row],[Geração Modulada ]]-PLDH[[#This Row],[Cessão]]-PLDH[[#This Row],[Consumo com redução]]</f>
        <v>0</v>
      </c>
      <c r="L24" s="20">
        <f>PLDH[[#This Row],[Balanço Energético]]*PLDH[[#This Row],[PLD_HORA]]</f>
        <v>0</v>
      </c>
      <c r="M24" s="5">
        <f>PLDH[[#This Row],[Balanço Energético com Redução do Consumo]]*PLDH[[#This Row],[PLD_HORA]]</f>
        <v>0</v>
      </c>
      <c r="N24" s="5">
        <f>PLDH[[#This Row],[Resultado Financeiro com Redução do Consumo ]]-PLDH[[#This Row],[Resultado Financeiro]]</f>
        <v>0</v>
      </c>
    </row>
    <row r="25" spans="1:14" x14ac:dyDescent="0.25">
      <c r="B25">
        <v>19</v>
      </c>
      <c r="D25" s="25">
        <f t="shared" si="0"/>
        <v>0</v>
      </c>
      <c r="E25" s="25">
        <f>PLDH[[#This Row],[Consumo]]</f>
        <v>0</v>
      </c>
      <c r="F25" s="2">
        <f>$B$2-PLDH[[#This Row],[Consumo]]</f>
        <v>0</v>
      </c>
      <c r="G25" s="27">
        <v>0</v>
      </c>
      <c r="H25" s="2">
        <f>PLDH[[#This Row],[Geração média]]/PLDH[[#Totals],[Geração média]]/24</f>
        <v>0</v>
      </c>
      <c r="I25" s="2">
        <f>$B$2*24*PLDH[[#This Row],[Fator de Modulação Médio DU Mensal]]</f>
        <v>0</v>
      </c>
      <c r="J25" s="2">
        <f>PLDH[[#This Row],[Geração Modulada ]]-PLDH[[#This Row],[Consumo]]-PLDH[[#This Row],[Cessão]]</f>
        <v>0</v>
      </c>
      <c r="K25" s="2">
        <f>PLDH[[#This Row],[Geração Modulada ]]-PLDH[[#This Row],[Cessão]]-PLDH[[#This Row],[Consumo com redução]]</f>
        <v>0</v>
      </c>
      <c r="L25" s="20">
        <f>PLDH[[#This Row],[Balanço Energético]]*PLDH[[#This Row],[PLD_HORA]]</f>
        <v>0</v>
      </c>
      <c r="M25" s="22">
        <f>PLDH[[#This Row],[Balanço Energético com Redução do Consumo]]*PLDH[[#This Row],[PLD_HORA]]</f>
        <v>0</v>
      </c>
      <c r="N25" s="5">
        <f>PLDH[[#This Row],[Resultado Financeiro com Redução do Consumo ]]-PLDH[[#This Row],[Resultado Financeiro]]</f>
        <v>0</v>
      </c>
    </row>
    <row r="26" spans="1:14" x14ac:dyDescent="0.25">
      <c r="B26">
        <v>20</v>
      </c>
      <c r="D26" s="25">
        <f t="shared" si="0"/>
        <v>0</v>
      </c>
      <c r="E26" s="25">
        <f>PLDH[[#This Row],[Consumo]]</f>
        <v>0</v>
      </c>
      <c r="F26" s="2">
        <f>$B$2-PLDH[[#This Row],[Consumo]]</f>
        <v>0</v>
      </c>
      <c r="G26" s="27">
        <v>0</v>
      </c>
      <c r="H26" s="2">
        <f>PLDH[[#This Row],[Geração média]]/PLDH[[#Totals],[Geração média]]/24</f>
        <v>0</v>
      </c>
      <c r="I26" s="2">
        <f>$B$2*24*PLDH[[#This Row],[Fator de Modulação Médio DU Mensal]]</f>
        <v>0</v>
      </c>
      <c r="J26" s="2">
        <f>PLDH[[#This Row],[Geração Modulada ]]-PLDH[[#This Row],[Consumo]]-PLDH[[#This Row],[Cessão]]</f>
        <v>0</v>
      </c>
      <c r="K26" s="2">
        <f>PLDH[[#This Row],[Geração Modulada ]]-PLDH[[#This Row],[Cessão]]-PLDH[[#This Row],[Consumo com redução]]</f>
        <v>0</v>
      </c>
      <c r="L26" s="20">
        <f>PLDH[[#This Row],[Balanço Energético]]*PLDH[[#This Row],[PLD_HORA]]</f>
        <v>0</v>
      </c>
      <c r="M26" s="22">
        <f>PLDH[[#This Row],[Balanço Energético com Redução do Consumo]]*PLDH[[#This Row],[PLD_HORA]]</f>
        <v>0</v>
      </c>
      <c r="N26" s="5">
        <f>PLDH[[#This Row],[Resultado Financeiro com Redução do Consumo ]]-PLDH[[#This Row],[Resultado Financeiro]]</f>
        <v>0</v>
      </c>
    </row>
    <row r="27" spans="1:14" x14ac:dyDescent="0.25">
      <c r="B27">
        <v>21</v>
      </c>
      <c r="D27" s="25">
        <f t="shared" si="0"/>
        <v>0</v>
      </c>
      <c r="E27" s="25">
        <f>PLDH[[#This Row],[Consumo]]</f>
        <v>0</v>
      </c>
      <c r="F27" s="2">
        <f>$B$2-PLDH[[#This Row],[Consumo]]</f>
        <v>0</v>
      </c>
      <c r="G27" s="27">
        <v>0</v>
      </c>
      <c r="H27" s="2">
        <f>PLDH[[#This Row],[Geração média]]/PLDH[[#Totals],[Geração média]]/24</f>
        <v>0</v>
      </c>
      <c r="I27" s="2">
        <f>$B$2*24*PLDH[[#This Row],[Fator de Modulação Médio DU Mensal]]</f>
        <v>0</v>
      </c>
      <c r="J27" s="2">
        <f>PLDH[[#This Row],[Geração Modulada ]]-PLDH[[#This Row],[Consumo]]-PLDH[[#This Row],[Cessão]]</f>
        <v>0</v>
      </c>
      <c r="K27" s="2">
        <f>PLDH[[#This Row],[Geração Modulada ]]-PLDH[[#This Row],[Cessão]]-PLDH[[#This Row],[Consumo com redução]]</f>
        <v>0</v>
      </c>
      <c r="L27" s="20">
        <f>PLDH[[#This Row],[Balanço Energético]]*PLDH[[#This Row],[PLD_HORA]]</f>
        <v>0</v>
      </c>
      <c r="M27" s="22">
        <f>PLDH[[#This Row],[Balanço Energético com Redução do Consumo]]*PLDH[[#This Row],[PLD_HORA]]</f>
        <v>0</v>
      </c>
      <c r="N27" s="5">
        <f>PLDH[[#This Row],[Resultado Financeiro com Redução do Consumo ]]-PLDH[[#This Row],[Resultado Financeiro]]</f>
        <v>0</v>
      </c>
    </row>
    <row r="28" spans="1:14" x14ac:dyDescent="0.25">
      <c r="B28">
        <v>22</v>
      </c>
      <c r="D28" s="25">
        <f t="shared" si="0"/>
        <v>0</v>
      </c>
      <c r="E28" s="25">
        <f>PLDH[[#This Row],[Consumo]]</f>
        <v>0</v>
      </c>
      <c r="F28" s="2">
        <f>$B$2-PLDH[[#This Row],[Consumo]]</f>
        <v>0</v>
      </c>
      <c r="G28" s="27">
        <v>0</v>
      </c>
      <c r="H28" s="2">
        <f>PLDH[[#This Row],[Geração média]]/PLDH[[#Totals],[Geração média]]/24</f>
        <v>0</v>
      </c>
      <c r="I28" s="2">
        <f>$B$2*24*PLDH[[#This Row],[Fator de Modulação Médio DU Mensal]]</f>
        <v>0</v>
      </c>
      <c r="J28" s="2">
        <f>PLDH[[#This Row],[Geração Modulada ]]-PLDH[[#This Row],[Consumo]]-PLDH[[#This Row],[Cessão]]</f>
        <v>0</v>
      </c>
      <c r="K28" s="2">
        <f>PLDH[[#This Row],[Geração Modulada ]]-PLDH[[#This Row],[Cessão]]-PLDH[[#This Row],[Consumo com redução]]</f>
        <v>0</v>
      </c>
      <c r="L28" s="20">
        <f>PLDH[[#This Row],[Balanço Energético]]*PLDH[[#This Row],[PLD_HORA]]</f>
        <v>0</v>
      </c>
      <c r="M28" s="22">
        <f>PLDH[[#This Row],[Balanço Energético com Redução do Consumo]]*PLDH[[#This Row],[PLD_HORA]]</f>
        <v>0</v>
      </c>
      <c r="N28" s="5">
        <f>PLDH[[#This Row],[Resultado Financeiro com Redução do Consumo ]]-PLDH[[#This Row],[Resultado Financeiro]]</f>
        <v>0</v>
      </c>
    </row>
    <row r="29" spans="1:14" x14ac:dyDescent="0.25">
      <c r="B29">
        <v>23</v>
      </c>
      <c r="D29" s="25">
        <f t="shared" si="0"/>
        <v>0</v>
      </c>
      <c r="E29" s="25">
        <f>PLDH[[#This Row],[Consumo]]</f>
        <v>0</v>
      </c>
      <c r="F29" s="2">
        <f>$B$2-PLDH[[#This Row],[Consumo]]</f>
        <v>0</v>
      </c>
      <c r="G29" s="27">
        <v>0</v>
      </c>
      <c r="H29" s="2">
        <f>PLDH[[#This Row],[Geração média]]/PLDH[[#Totals],[Geração média]]/24</f>
        <v>0</v>
      </c>
      <c r="I29" s="2">
        <f>$B$2*24*PLDH[[#This Row],[Fator de Modulação Médio DU Mensal]]</f>
        <v>0</v>
      </c>
      <c r="J29" s="2">
        <f>PLDH[[#This Row],[Geração Modulada ]]-PLDH[[#This Row],[Consumo]]-PLDH[[#This Row],[Cessão]]</f>
        <v>0</v>
      </c>
      <c r="K29" s="2">
        <f>PLDH[[#This Row],[Geração Modulada ]]-PLDH[[#This Row],[Cessão]]-PLDH[[#This Row],[Consumo com redução]]</f>
        <v>0</v>
      </c>
      <c r="L29" s="20">
        <f>PLDH[[#This Row],[Balanço Energético]]*PLDH[[#This Row],[PLD_HORA]]</f>
        <v>0</v>
      </c>
      <c r="M29" s="5">
        <f>PLDH[[#This Row],[Balanço Energético com Redução do Consumo]]*PLDH[[#This Row],[PLD_HORA]]</f>
        <v>0</v>
      </c>
      <c r="N29" s="5">
        <f>PLDH[[#This Row],[Resultado Financeiro com Redução do Consumo ]]-PLDH[[#This Row],[Resultado Financeiro]]</f>
        <v>0</v>
      </c>
    </row>
    <row r="30" spans="1:14" x14ac:dyDescent="0.25">
      <c r="A30">
        <f>SUBTOTAL(104,PLDH[DIA])</f>
        <v>0</v>
      </c>
      <c r="C30" s="1" t="e">
        <f>SUBTOTAL(101,PLDH[PLD_HORA])</f>
        <v>#DIV/0!</v>
      </c>
      <c r="D30" s="21">
        <f>SUBTOTAL(109,PLDH[Consumo])</f>
        <v>0</v>
      </c>
      <c r="E30" s="21">
        <f>SUBTOTAL(109,PLDH[Consumo com redução])</f>
        <v>0</v>
      </c>
      <c r="F30" s="6">
        <f>SUBTOTAL(109,PLDH[Cessão])</f>
        <v>0</v>
      </c>
      <c r="G30" s="6">
        <f>SUBTOTAL(101,PLDH[Geração média])</f>
        <v>160.17055618946392</v>
      </c>
      <c r="H30" s="6">
        <f>SUBTOTAL(109,PLDH[Fator de Modulação Médio DU Mensal])</f>
        <v>1</v>
      </c>
      <c r="I30" s="6">
        <f>SUBTOTAL(101,PLDH[[Geração Modulada ]])</f>
        <v>0</v>
      </c>
      <c r="J30" s="6">
        <f>SUBTOTAL(101,PLDH[Balanço Energético])</f>
        <v>0</v>
      </c>
      <c r="K30" s="6"/>
      <c r="L30" s="23">
        <f>SUBTOTAL(109,PLDH[Resultado Financeiro])</f>
        <v>0</v>
      </c>
      <c r="M30" s="7">
        <f>SUBTOTAL(109,PLDH[[Resultado Financeiro com Redução do Consumo ]])</f>
        <v>0</v>
      </c>
      <c r="N30" s="24">
        <f>SUBTOTAL(109,PLDH[Diferença])</f>
        <v>0</v>
      </c>
    </row>
    <row r="31" spans="1:14" x14ac:dyDescent="0.25">
      <c r="K31" s="1" t="s">
        <v>23</v>
      </c>
      <c r="L31" s="26" t="e">
        <f>PLDH[[#Totals],[Resultado Financeiro]]/(PLDH[[#Totals],[Consumo]]+PLDH[[#Totals],[Cessão]])</f>
        <v>#DIV/0!</v>
      </c>
      <c r="M31" s="26" t="e">
        <f>PLDH[[#Totals],[Resultado Financeiro com Redução do Consumo ]]/(PLDH[[#Totals],[Consumo]]+PLDH[[#Totals],[Cessão]])</f>
        <v>#DIV/0!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showGridLines="0" workbookViewId="0">
      <selection activeCell="F6" sqref="F6"/>
    </sheetView>
  </sheetViews>
  <sheetFormatPr defaultRowHeight="15" x14ac:dyDescent="0.25"/>
  <cols>
    <col min="1" max="1" width="25.140625" bestFit="1" customWidth="1"/>
    <col min="2" max="2" width="12" bestFit="1" customWidth="1"/>
    <col min="3" max="3" width="8.42578125" bestFit="1" customWidth="1"/>
    <col min="4" max="4" width="12.7109375" bestFit="1" customWidth="1"/>
    <col min="5" max="5" width="11.5703125" style="1" bestFit="1" customWidth="1"/>
    <col min="6" max="6" width="11.5703125" style="1" customWidth="1"/>
    <col min="7" max="7" width="18.28515625" style="1" customWidth="1"/>
    <col min="8" max="8" width="22.85546875" style="1" customWidth="1"/>
    <col min="9" max="9" width="20.42578125" style="1" customWidth="1"/>
    <col min="10" max="10" width="21.7109375" style="1" bestFit="1" customWidth="1"/>
    <col min="11" max="11" width="22.140625" style="1" bestFit="1" customWidth="1"/>
  </cols>
  <sheetData>
    <row r="1" spans="1:11" x14ac:dyDescent="0.25">
      <c r="A1" s="10" t="s">
        <v>0</v>
      </c>
      <c r="B1" s="12" t="e">
        <f>AVERAGE(PLDH3[Consumo Previsto])</f>
        <v>#VALUE!</v>
      </c>
      <c r="C1" s="11"/>
    </row>
    <row r="2" spans="1:11" x14ac:dyDescent="0.25">
      <c r="A2" s="8" t="s">
        <v>16</v>
      </c>
      <c r="B2" s="8" t="e">
        <f>PLDH3[[#Totals],[Resultado Financeito]]/PLDH3[[#Totals],[Consumo Previsto]]*-1</f>
        <v>#VALUE!</v>
      </c>
    </row>
    <row r="6" spans="1:11" ht="45" customHeight="1" x14ac:dyDescent="0.25">
      <c r="A6" t="s">
        <v>17</v>
      </c>
      <c r="B6" t="s">
        <v>2</v>
      </c>
      <c r="C6" t="s">
        <v>3</v>
      </c>
      <c r="D6" s="1" t="s">
        <v>4</v>
      </c>
      <c r="E6" s="14" t="s">
        <v>18</v>
      </c>
      <c r="F6" s="14" t="s">
        <v>19</v>
      </c>
      <c r="G6" s="9" t="s">
        <v>20</v>
      </c>
      <c r="H6" s="9" t="s">
        <v>9</v>
      </c>
      <c r="I6" s="3" t="s">
        <v>10</v>
      </c>
      <c r="J6" s="3" t="s">
        <v>11</v>
      </c>
      <c r="K6" t="s">
        <v>21</v>
      </c>
    </row>
    <row r="7" spans="1:11" x14ac:dyDescent="0.25">
      <c r="A7" s="4">
        <v>46056</v>
      </c>
      <c r="B7">
        <v>3</v>
      </c>
      <c r="C7">
        <v>0</v>
      </c>
      <c r="D7" s="1">
        <v>495.56</v>
      </c>
      <c r="E7" s="2">
        <f>PLDH[[#This Row],[Consumo]]</f>
        <v>0</v>
      </c>
      <c r="F7" s="2"/>
      <c r="G7" s="2">
        <v>0</v>
      </c>
      <c r="H7" s="2">
        <f>PLDH3[[#This Row],[Geração Modulada Média DU]]/PLDH3[[#Totals],[Geração Modulada Média DU]]/24</f>
        <v>0</v>
      </c>
      <c r="I7" s="2">
        <f>'Consumo Flat'!$B$1*24*PLDH3[[#This Row],[Fator de Modulação Médio DU Mensal]]</f>
        <v>0</v>
      </c>
      <c r="J7" s="2">
        <f>PLDH3[[#This Row],[Geração Modulada ]]-PLDH3[[#This Row],[Consumo Previsto]]</f>
        <v>0</v>
      </c>
      <c r="K7" s="5">
        <f>PLDH3[[#This Row],[Balanço Energético]]*PLDH3[[#This Row],[PLD_HORA]]</f>
        <v>0</v>
      </c>
    </row>
    <row r="8" spans="1:11" x14ac:dyDescent="0.25">
      <c r="A8" s="4">
        <v>46056.041666666657</v>
      </c>
      <c r="B8">
        <v>3</v>
      </c>
      <c r="C8">
        <v>1</v>
      </c>
      <c r="D8" s="1">
        <v>388.13</v>
      </c>
      <c r="E8" s="2">
        <f>PLDH[[#This Row],[Consumo]]</f>
        <v>0</v>
      </c>
      <c r="F8" s="2"/>
      <c r="G8" s="2">
        <v>0</v>
      </c>
      <c r="H8" s="2">
        <f>PLDH3[[#This Row],[Geração Modulada Média DU]]/PLDH3[[#Totals],[Geração Modulada Média DU]]/24</f>
        <v>0</v>
      </c>
      <c r="I8" s="2">
        <f>'Consumo Flat'!$B$1*24*PLDH3[[#This Row],[Fator de Modulação Médio DU Mensal]]</f>
        <v>0</v>
      </c>
      <c r="J8" s="2">
        <f>PLDH3[[#This Row],[Geração Modulada ]]-PLDH3[[#This Row],[Consumo Previsto]]</f>
        <v>0</v>
      </c>
      <c r="K8" s="5">
        <f>PLDH3[[#This Row],[Balanço Energético]]*PLDH3[[#This Row],[PLD_HORA]]</f>
        <v>0</v>
      </c>
    </row>
    <row r="9" spans="1:11" x14ac:dyDescent="0.25">
      <c r="A9" s="4">
        <v>46056.083333333343</v>
      </c>
      <c r="B9">
        <v>3</v>
      </c>
      <c r="C9">
        <v>2</v>
      </c>
      <c r="D9" s="1">
        <v>377.17</v>
      </c>
      <c r="E9" s="2">
        <f>PLDH[[#This Row],[Consumo]]</f>
        <v>0</v>
      </c>
      <c r="F9" s="2"/>
      <c r="G9" s="2">
        <v>0</v>
      </c>
      <c r="H9" s="2">
        <f>PLDH3[[#This Row],[Geração Modulada Média DU]]/PLDH3[[#Totals],[Geração Modulada Média DU]]/24</f>
        <v>0</v>
      </c>
      <c r="I9" s="2">
        <f>'Consumo Flat'!$B$1*24*PLDH3[[#This Row],[Fator de Modulação Médio DU Mensal]]</f>
        <v>0</v>
      </c>
      <c r="J9" s="2">
        <f>PLDH3[[#This Row],[Geração Modulada ]]-PLDH3[[#This Row],[Consumo Previsto]]</f>
        <v>0</v>
      </c>
      <c r="K9" s="5">
        <f>PLDH3[[#This Row],[Balanço Energético]]*PLDH3[[#This Row],[PLD_HORA]]</f>
        <v>0</v>
      </c>
    </row>
    <row r="10" spans="1:11" x14ac:dyDescent="0.25">
      <c r="A10" s="4">
        <v>46056.125</v>
      </c>
      <c r="B10">
        <v>3</v>
      </c>
      <c r="C10">
        <v>3</v>
      </c>
      <c r="D10" s="1">
        <v>376.74</v>
      </c>
      <c r="E10" s="2">
        <f>PLDH[[#This Row],[Consumo]]</f>
        <v>0</v>
      </c>
      <c r="F10" s="2"/>
      <c r="G10" s="2">
        <v>0</v>
      </c>
      <c r="H10" s="2">
        <f>PLDH3[[#This Row],[Geração Modulada Média DU]]/PLDH3[[#Totals],[Geração Modulada Média DU]]/24</f>
        <v>0</v>
      </c>
      <c r="I10" s="2">
        <f>'Consumo Flat'!$B$1*24*PLDH3[[#This Row],[Fator de Modulação Médio DU Mensal]]</f>
        <v>0</v>
      </c>
      <c r="J10" s="2">
        <f>PLDH3[[#This Row],[Geração Modulada ]]-PLDH3[[#This Row],[Consumo Previsto]]</f>
        <v>0</v>
      </c>
      <c r="K10" s="5">
        <f>PLDH3[[#This Row],[Balanço Energético]]*PLDH3[[#This Row],[PLD_HORA]]</f>
        <v>0</v>
      </c>
    </row>
    <row r="11" spans="1:11" x14ac:dyDescent="0.25">
      <c r="A11" s="4">
        <v>46056.166666666657</v>
      </c>
      <c r="B11">
        <v>3</v>
      </c>
      <c r="C11">
        <v>4</v>
      </c>
      <c r="D11" s="1">
        <v>376.69</v>
      </c>
      <c r="E11" s="2">
        <f>PLDH[[#This Row],[Consumo]]</f>
        <v>0</v>
      </c>
      <c r="F11" s="2"/>
      <c r="G11" s="2">
        <v>0.35444184821866681</v>
      </c>
      <c r="H11" s="2">
        <f>PLDH3[[#This Row],[Geração Modulada Média DU]]/PLDH3[[#Totals],[Geração Modulada Média DU]]/24</f>
        <v>1.0789769240498471E-4</v>
      </c>
      <c r="I11" s="2">
        <f>'Consumo Flat'!$B$1*24*PLDH3[[#This Row],[Fator de Modulação Médio DU Mensal]]</f>
        <v>0</v>
      </c>
      <c r="J11" s="2">
        <f>PLDH3[[#This Row],[Geração Modulada ]]-PLDH3[[#This Row],[Consumo Previsto]]</f>
        <v>0</v>
      </c>
      <c r="K11" s="5">
        <f>PLDH3[[#This Row],[Balanço Energético]]*PLDH3[[#This Row],[PLD_HORA]]</f>
        <v>0</v>
      </c>
    </row>
    <row r="12" spans="1:11" x14ac:dyDescent="0.25">
      <c r="A12" s="4">
        <v>46056.208333333343</v>
      </c>
      <c r="B12">
        <v>3</v>
      </c>
      <c r="C12">
        <v>5</v>
      </c>
      <c r="D12" s="1">
        <v>379.25</v>
      </c>
      <c r="E12" s="2">
        <f>PLDH[[#This Row],[Consumo]]</f>
        <v>0</v>
      </c>
      <c r="F12" s="2"/>
      <c r="G12" s="2">
        <v>1.3762302017185519</v>
      </c>
      <c r="H12" s="2">
        <f>PLDH3[[#This Row],[Geração Modulada Média DU]]/PLDH3[[#Totals],[Geração Modulada Média DU]]/24</f>
        <v>4.1894619309136637E-4</v>
      </c>
      <c r="I12" s="2">
        <f>'Consumo Flat'!$B$1*24*PLDH3[[#This Row],[Fator de Modulação Médio DU Mensal]]</f>
        <v>0</v>
      </c>
      <c r="J12" s="2">
        <f>PLDH3[[#This Row],[Geração Modulada ]]-PLDH3[[#This Row],[Consumo Previsto]]</f>
        <v>0</v>
      </c>
      <c r="K12" s="5">
        <f>PLDH3[[#This Row],[Balanço Energético]]*PLDH3[[#This Row],[PLD_HORA]]</f>
        <v>0</v>
      </c>
    </row>
    <row r="13" spans="1:11" x14ac:dyDescent="0.25">
      <c r="A13" s="4">
        <v>46056.25</v>
      </c>
      <c r="B13">
        <v>3</v>
      </c>
      <c r="C13">
        <v>6</v>
      </c>
      <c r="D13" s="1">
        <v>376.86</v>
      </c>
      <c r="E13" s="2">
        <f>PLDH[[#This Row],[Consumo]]</f>
        <v>0</v>
      </c>
      <c r="F13" s="2"/>
      <c r="G13" s="2">
        <v>74.500889369853724</v>
      </c>
      <c r="H13" s="2">
        <f>PLDH3[[#This Row],[Geração Modulada Média DU]]/PLDH3[[#Totals],[Geração Modulada Média DU]]/24</f>
        <v>2.2679246498475181E-2</v>
      </c>
      <c r="I13" s="2">
        <f>'Consumo Flat'!$B$1*24*PLDH3[[#This Row],[Fator de Modulação Médio DU Mensal]]</f>
        <v>0</v>
      </c>
      <c r="J13" s="2">
        <f>PLDH3[[#This Row],[Geração Modulada ]]-PLDH3[[#This Row],[Consumo Previsto]]</f>
        <v>0</v>
      </c>
      <c r="K13" s="5">
        <f>PLDH3[[#This Row],[Balanço Energético]]*PLDH3[[#This Row],[PLD_HORA]]</f>
        <v>0</v>
      </c>
    </row>
    <row r="14" spans="1:11" x14ac:dyDescent="0.25">
      <c r="A14" s="4">
        <v>46056.291666666657</v>
      </c>
      <c r="B14">
        <v>3</v>
      </c>
      <c r="C14">
        <v>7</v>
      </c>
      <c r="D14" s="1">
        <v>370.3</v>
      </c>
      <c r="E14" s="2">
        <f>PLDH[[#This Row],[Consumo]]</f>
        <v>0</v>
      </c>
      <c r="F14" s="2"/>
      <c r="G14" s="2">
        <v>243.0535269390607</v>
      </c>
      <c r="H14" s="2">
        <f>PLDH3[[#This Row],[Geração Modulada Média DU]]/PLDH3[[#Totals],[Geração Modulada Média DU]]/24</f>
        <v>7.3989329475108764E-2</v>
      </c>
      <c r="I14" s="2">
        <f>'Consumo Flat'!$B$1*24*PLDH3[[#This Row],[Fator de Modulação Médio DU Mensal]]</f>
        <v>0</v>
      </c>
      <c r="J14" s="2">
        <f>PLDH3[[#This Row],[Geração Modulada ]]-PLDH3[[#This Row],[Consumo Previsto]]</f>
        <v>0</v>
      </c>
      <c r="K14" s="5">
        <f>PLDH3[[#This Row],[Balanço Energético]]*PLDH3[[#This Row],[PLD_HORA]]</f>
        <v>0</v>
      </c>
    </row>
    <row r="15" spans="1:11" x14ac:dyDescent="0.25">
      <c r="A15" s="4">
        <v>46056.333333333343</v>
      </c>
      <c r="B15">
        <v>3</v>
      </c>
      <c r="C15">
        <v>8</v>
      </c>
      <c r="D15" s="1">
        <v>369.21</v>
      </c>
      <c r="E15" s="2">
        <f>PLDH[[#This Row],[Consumo]]</f>
        <v>0</v>
      </c>
      <c r="F15" s="2"/>
      <c r="G15" s="2">
        <v>399.04965409015699</v>
      </c>
      <c r="H15" s="2">
        <f>PLDH3[[#This Row],[Geração Modulada Média DU]]/PLDH3[[#Totals],[Geração Modulada Média DU]]/24</f>
        <v>0.12147701251341042</v>
      </c>
      <c r="I15" s="2">
        <f>'Consumo Flat'!$B$1*24*PLDH3[[#This Row],[Fator de Modulação Médio DU Mensal]]</f>
        <v>0</v>
      </c>
      <c r="J15" s="2">
        <f>PLDH3[[#This Row],[Geração Modulada ]]-PLDH3[[#This Row],[Consumo Previsto]]</f>
        <v>0</v>
      </c>
      <c r="K15" s="5">
        <f>PLDH3[[#This Row],[Balanço Energético]]*PLDH3[[#This Row],[PLD_HORA]]</f>
        <v>0</v>
      </c>
    </row>
    <row r="16" spans="1:11" x14ac:dyDescent="0.25">
      <c r="A16" s="4">
        <v>46056.375</v>
      </c>
      <c r="B16">
        <v>3</v>
      </c>
      <c r="C16">
        <v>9</v>
      </c>
      <c r="D16" s="1">
        <v>362.86</v>
      </c>
      <c r="E16" s="2">
        <f>PLDH[[#This Row],[Consumo]]</f>
        <v>0</v>
      </c>
      <c r="F16" s="2"/>
      <c r="G16" s="2">
        <v>484.82313519588911</v>
      </c>
      <c r="H16" s="2">
        <f>PLDH3[[#This Row],[Geração Modulada Média DU]]/PLDH3[[#Totals],[Geração Modulada Média DU]]/24</f>
        <v>0.14758781384051975</v>
      </c>
      <c r="I16" s="2">
        <f>'Consumo Flat'!$B$1*24*PLDH3[[#This Row],[Fator de Modulação Médio DU Mensal]]</f>
        <v>0</v>
      </c>
      <c r="J16" s="2">
        <f>PLDH3[[#This Row],[Geração Modulada ]]-PLDH3[[#This Row],[Consumo Previsto]]</f>
        <v>0</v>
      </c>
      <c r="K16" s="5">
        <f>PLDH3[[#This Row],[Balanço Energético]]*PLDH3[[#This Row],[PLD_HORA]]</f>
        <v>0</v>
      </c>
    </row>
    <row r="17" spans="1:11" x14ac:dyDescent="0.25">
      <c r="A17" s="4">
        <v>46056.416666666657</v>
      </c>
      <c r="B17">
        <v>3</v>
      </c>
      <c r="C17">
        <v>10</v>
      </c>
      <c r="D17" s="1">
        <v>362.09</v>
      </c>
      <c r="E17" s="2">
        <f>PLDH[[#This Row],[Consumo]]</f>
        <v>0</v>
      </c>
      <c r="F17" s="2"/>
      <c r="G17" s="2">
        <v>414.19505806675397</v>
      </c>
      <c r="H17" s="2">
        <f>PLDH3[[#This Row],[Geração Modulada Média DU]]/PLDH3[[#Totals],[Geração Modulada Média DU]]/24</f>
        <v>0.12608751250890737</v>
      </c>
      <c r="I17" s="2">
        <f>'Consumo Flat'!$B$1*24*PLDH3[[#This Row],[Fator de Modulação Médio DU Mensal]]</f>
        <v>0</v>
      </c>
      <c r="J17" s="2">
        <f>PLDH3[[#This Row],[Geração Modulada ]]-PLDH3[[#This Row],[Consumo Previsto]]</f>
        <v>0</v>
      </c>
      <c r="K17" s="5">
        <f>PLDH3[[#This Row],[Balanço Energético]]*PLDH3[[#This Row],[PLD_HORA]]</f>
        <v>0</v>
      </c>
    </row>
    <row r="18" spans="1:11" x14ac:dyDescent="0.25">
      <c r="A18" s="4">
        <v>46056.458333333343</v>
      </c>
      <c r="B18">
        <v>3</v>
      </c>
      <c r="C18">
        <v>11</v>
      </c>
      <c r="D18" s="1">
        <v>362.48</v>
      </c>
      <c r="E18" s="2">
        <f>PLDH[[#This Row],[Consumo]]</f>
        <v>0</v>
      </c>
      <c r="F18" s="2"/>
      <c r="G18" s="2">
        <v>386.74258119983813</v>
      </c>
      <c r="H18" s="2">
        <f>PLDH3[[#This Row],[Geração Modulada Média DU]]/PLDH3[[#Totals],[Geração Modulada Média DU]]/24</f>
        <v>0.11773054529516558</v>
      </c>
      <c r="I18" s="2">
        <f>'Consumo Flat'!$B$1*24*PLDH3[[#This Row],[Fator de Modulação Médio DU Mensal]]</f>
        <v>0</v>
      </c>
      <c r="J18" s="2">
        <f>PLDH3[[#This Row],[Geração Modulada ]]-PLDH3[[#This Row],[Consumo Previsto]]</f>
        <v>0</v>
      </c>
      <c r="K18" s="5">
        <f>PLDH3[[#This Row],[Balanço Energético]]*PLDH3[[#This Row],[PLD_HORA]]</f>
        <v>0</v>
      </c>
    </row>
    <row r="19" spans="1:11" x14ac:dyDescent="0.25">
      <c r="A19" s="4">
        <v>46056.5</v>
      </c>
      <c r="B19">
        <v>3</v>
      </c>
      <c r="C19">
        <v>12</v>
      </c>
      <c r="D19" s="1">
        <v>355.36</v>
      </c>
      <c r="E19" s="2">
        <f>PLDH[[#This Row],[Consumo]]</f>
        <v>0</v>
      </c>
      <c r="F19" s="2"/>
      <c r="G19" s="2">
        <v>381.27430280191862</v>
      </c>
      <c r="H19" s="2">
        <f>PLDH3[[#This Row],[Geração Modulada Média DU]]/PLDH3[[#Totals],[Geração Modulada Média DU]]/24</f>
        <v>0.11606591505037704</v>
      </c>
      <c r="I19" s="2">
        <f>'Consumo Flat'!$B$1*24*PLDH3[[#This Row],[Fator de Modulação Médio DU Mensal]]</f>
        <v>0</v>
      </c>
      <c r="J19" s="2">
        <f>PLDH3[[#This Row],[Geração Modulada ]]-PLDH3[[#This Row],[Consumo Previsto]]</f>
        <v>0</v>
      </c>
      <c r="K19" s="5">
        <f>PLDH3[[#This Row],[Balanço Energético]]*PLDH3[[#This Row],[PLD_HORA]]</f>
        <v>0</v>
      </c>
    </row>
    <row r="20" spans="1:11" x14ac:dyDescent="0.25">
      <c r="A20" s="4">
        <v>46056.541666666657</v>
      </c>
      <c r="B20">
        <v>3</v>
      </c>
      <c r="C20">
        <v>13</v>
      </c>
      <c r="D20" s="1">
        <v>339.8</v>
      </c>
      <c r="E20" s="2">
        <f>PLDH[[#This Row],[Consumo]]</f>
        <v>0</v>
      </c>
      <c r="F20" s="2"/>
      <c r="G20" s="2">
        <v>410.74527855152638</v>
      </c>
      <c r="H20" s="2">
        <f>PLDH3[[#This Row],[Geração Modulada Média DU]]/PLDH3[[#Totals],[Geração Modulada Média DU]]/24</f>
        <v>0.12503734517999363</v>
      </c>
      <c r="I20" s="2">
        <f>'Consumo Flat'!$B$1*24*PLDH3[[#This Row],[Fator de Modulação Médio DU Mensal]]</f>
        <v>0</v>
      </c>
      <c r="J20" s="2">
        <f>PLDH3[[#This Row],[Geração Modulada ]]-PLDH3[[#This Row],[Consumo Previsto]]</f>
        <v>0</v>
      </c>
      <c r="K20" s="5">
        <f>PLDH3[[#This Row],[Balanço Energético]]*PLDH3[[#This Row],[PLD_HORA]]</f>
        <v>0</v>
      </c>
    </row>
    <row r="21" spans="1:11" x14ac:dyDescent="0.25">
      <c r="A21" s="4">
        <v>46056.583333333343</v>
      </c>
      <c r="B21">
        <v>3</v>
      </c>
      <c r="C21">
        <v>14</v>
      </c>
      <c r="D21" s="1">
        <v>359.51</v>
      </c>
      <c r="E21" s="2">
        <f>PLDH[[#This Row],[Consumo]]</f>
        <v>0</v>
      </c>
      <c r="F21" s="2"/>
      <c r="G21" s="2">
        <v>181.66061972455191</v>
      </c>
      <c r="H21" s="2">
        <f>PLDH3[[#This Row],[Geração Modulada Média DU]]/PLDH3[[#Totals],[Geração Modulada Média DU]]/24</f>
        <v>5.5300359615115889E-2</v>
      </c>
      <c r="I21" s="2">
        <f>'Consumo Flat'!$B$1*24*PLDH3[[#This Row],[Fator de Modulação Médio DU Mensal]]</f>
        <v>0</v>
      </c>
      <c r="J21" s="2">
        <f>PLDH3[[#This Row],[Geração Modulada ]]-PLDH3[[#This Row],[Consumo Previsto]]</f>
        <v>0</v>
      </c>
      <c r="K21" s="5">
        <f>PLDH3[[#This Row],[Balanço Energético]]*PLDH3[[#This Row],[PLD_HORA]]</f>
        <v>0</v>
      </c>
    </row>
    <row r="22" spans="1:11" x14ac:dyDescent="0.25">
      <c r="A22" s="4">
        <v>46056.625</v>
      </c>
      <c r="B22">
        <v>3</v>
      </c>
      <c r="C22">
        <v>15</v>
      </c>
      <c r="D22" s="1">
        <v>374.82</v>
      </c>
      <c r="E22" s="2">
        <f>PLDH[[#This Row],[Consumo]]</f>
        <v>0</v>
      </c>
      <c r="F22" s="2"/>
      <c r="G22" s="2">
        <v>157.50169664884791</v>
      </c>
      <c r="H22" s="2">
        <f>PLDH3[[#This Row],[Geração Modulada Média DU]]/PLDH3[[#Totals],[Geração Modulada Média DU]]/24</f>
        <v>4.7946002154340424E-2</v>
      </c>
      <c r="I22" s="2">
        <f>'Consumo Flat'!$B$1*24*PLDH3[[#This Row],[Fator de Modulação Médio DU Mensal]]</f>
        <v>0</v>
      </c>
      <c r="J22" s="2">
        <f>PLDH3[[#This Row],[Geração Modulada ]]-PLDH3[[#This Row],[Consumo Previsto]]</f>
        <v>0</v>
      </c>
      <c r="K22" s="5">
        <f>PLDH3[[#This Row],[Balanço Energético]]*PLDH3[[#This Row],[PLD_HORA]]</f>
        <v>0</v>
      </c>
    </row>
    <row r="23" spans="1:11" x14ac:dyDescent="0.25">
      <c r="A23" s="4">
        <v>46056.666666666657</v>
      </c>
      <c r="B23">
        <v>3</v>
      </c>
      <c r="C23">
        <v>16</v>
      </c>
      <c r="D23" s="1">
        <v>392.8</v>
      </c>
      <c r="E23" s="2">
        <f>PLDH[[#This Row],[Consumo]]</f>
        <v>0</v>
      </c>
      <c r="F23" s="2"/>
      <c r="G23" s="2">
        <v>92.889130103598603</v>
      </c>
      <c r="H23" s="2">
        <f>PLDH3[[#This Row],[Geração Modulada Média DU]]/PLDH3[[#Totals],[Geração Modulada Média DU]]/24</f>
        <v>2.8276917181352307E-2</v>
      </c>
      <c r="I23" s="2">
        <f>'Consumo Flat'!$B$1*24*PLDH3[[#This Row],[Fator de Modulação Médio DU Mensal]]</f>
        <v>0</v>
      </c>
      <c r="J23" s="2">
        <f>PLDH3[[#This Row],[Geração Modulada ]]-PLDH3[[#This Row],[Consumo Previsto]]</f>
        <v>0</v>
      </c>
      <c r="K23" s="5">
        <f>PLDH3[[#This Row],[Balanço Energético]]*PLDH3[[#This Row],[PLD_HORA]]</f>
        <v>0</v>
      </c>
    </row>
    <row r="24" spans="1:11" x14ac:dyDescent="0.25">
      <c r="A24" s="4">
        <v>46056.708333333343</v>
      </c>
      <c r="B24">
        <v>3</v>
      </c>
      <c r="C24">
        <v>17</v>
      </c>
      <c r="D24" s="1">
        <v>422.9</v>
      </c>
      <c r="E24" s="2">
        <f>PLDH[[#This Row],[Consumo]]</f>
        <v>0</v>
      </c>
      <c r="F24" s="2"/>
      <c r="G24" s="2">
        <v>49.311273681426762</v>
      </c>
      <c r="H24" s="2">
        <f>PLDH3[[#This Row],[Geração Modulada Média DU]]/PLDH3[[#Totals],[Geração Modulada Média DU]]/24</f>
        <v>1.5011129939978662E-2</v>
      </c>
      <c r="I24" s="2">
        <f>'Consumo Flat'!$B$1*24*PLDH3[[#This Row],[Fator de Modulação Médio DU Mensal]]</f>
        <v>0</v>
      </c>
      <c r="J24" s="2">
        <f>PLDH3[[#This Row],[Geração Modulada ]]-PLDH3[[#This Row],[Consumo Previsto]]</f>
        <v>0</v>
      </c>
      <c r="K24" s="5">
        <f>PLDH3[[#This Row],[Balanço Energético]]*PLDH3[[#This Row],[PLD_HORA]]</f>
        <v>0</v>
      </c>
    </row>
    <row r="25" spans="1:11" x14ac:dyDescent="0.25">
      <c r="A25" s="4">
        <v>46056.75</v>
      </c>
      <c r="B25">
        <v>3</v>
      </c>
      <c r="C25">
        <v>18</v>
      </c>
      <c r="D25" s="1">
        <v>582.84</v>
      </c>
      <c r="E25" s="2">
        <f>PLDH[[#This Row],[Consumo]]</f>
        <v>0</v>
      </c>
      <c r="F25" s="2"/>
      <c r="G25" s="2">
        <v>6.5135278999739299</v>
      </c>
      <c r="H25" s="2">
        <f>PLDH3[[#This Row],[Geração Modulada Média DU]]/PLDH3[[#Totals],[Geração Modulada Média DU]]/24</f>
        <v>1.9828206893591637E-3</v>
      </c>
      <c r="I25" s="2">
        <f>'Consumo Flat'!$B$1*24*PLDH3[[#This Row],[Fator de Modulação Médio DU Mensal]]</f>
        <v>0</v>
      </c>
      <c r="J25" s="2">
        <f>PLDH3[[#This Row],[Geração Modulada ]]-PLDH3[[#This Row],[Consumo Previsto]]</f>
        <v>0</v>
      </c>
      <c r="K25" s="5">
        <f>PLDH3[[#This Row],[Balanço Energético]]*PLDH3[[#This Row],[PLD_HORA]]</f>
        <v>0</v>
      </c>
    </row>
    <row r="26" spans="1:11" x14ac:dyDescent="0.25">
      <c r="A26" s="4">
        <v>46056.791666666657</v>
      </c>
      <c r="B26">
        <v>3</v>
      </c>
      <c r="C26">
        <v>19</v>
      </c>
      <c r="D26" s="1">
        <v>694.33</v>
      </c>
      <c r="E26" s="2">
        <v>4</v>
      </c>
      <c r="F26" s="2"/>
      <c r="G26" s="2">
        <v>0.98945649402176272</v>
      </c>
      <c r="H26" s="2">
        <f>PLDH3[[#This Row],[Geração Modulada Média DU]]/PLDH3[[#Totals],[Geração Modulada Média DU]]/24</f>
        <v>3.0120617239929004E-4</v>
      </c>
      <c r="I26" s="2">
        <f>'Consumo Flat'!$B$1*24*PLDH3[[#This Row],[Fator de Modulação Médio DU Mensal]]</f>
        <v>0</v>
      </c>
      <c r="J26" s="2">
        <f>PLDH3[[#This Row],[Geração Modulada ]]-PLDH3[[#This Row],[Consumo Previsto]]</f>
        <v>-4</v>
      </c>
      <c r="K26" s="5">
        <f>PLDH3[[#This Row],[Balanço Energético]]*PLDH3[[#This Row],[PLD_HORA]]</f>
        <v>-2777.32</v>
      </c>
    </row>
    <row r="27" spans="1:11" x14ac:dyDescent="0.25">
      <c r="A27" s="4">
        <v>46056.833333333343</v>
      </c>
      <c r="B27">
        <v>3</v>
      </c>
      <c r="C27">
        <v>20</v>
      </c>
      <c r="D27" s="1">
        <v>781.42</v>
      </c>
      <c r="E27" s="2">
        <v>4</v>
      </c>
      <c r="F27" s="2"/>
      <c r="G27" s="2">
        <v>0</v>
      </c>
      <c r="H27" s="2">
        <f>PLDH3[[#This Row],[Geração Modulada Média DU]]/PLDH3[[#Totals],[Geração Modulada Média DU]]/24</f>
        <v>0</v>
      </c>
      <c r="I27" s="2">
        <f>'Consumo Flat'!$B$1*24*PLDH3[[#This Row],[Fator de Modulação Médio DU Mensal]]</f>
        <v>0</v>
      </c>
      <c r="J27" s="2">
        <f>PLDH3[[#This Row],[Geração Modulada ]]-PLDH3[[#This Row],[Consumo Previsto]]</f>
        <v>-4</v>
      </c>
      <c r="K27" s="5">
        <f>PLDH3[[#This Row],[Balanço Energético]]*PLDH3[[#This Row],[PLD_HORA]]</f>
        <v>-3125.68</v>
      </c>
    </row>
    <row r="28" spans="1:11" x14ac:dyDescent="0.25">
      <c r="A28" s="4">
        <v>46056.875</v>
      </c>
      <c r="B28">
        <v>3</v>
      </c>
      <c r="C28">
        <v>21</v>
      </c>
      <c r="D28" s="1">
        <v>786.8</v>
      </c>
      <c r="E28" s="2">
        <v>4</v>
      </c>
      <c r="F28" s="2"/>
      <c r="G28" s="2">
        <v>0</v>
      </c>
      <c r="H28" s="2">
        <f>PLDH3[[#This Row],[Geração Modulada Média DU]]/PLDH3[[#Totals],[Geração Modulada Média DU]]/24</f>
        <v>0</v>
      </c>
      <c r="I28" s="2">
        <f>'Consumo Flat'!$B$1*24*PLDH3[[#This Row],[Fator de Modulação Médio DU Mensal]]</f>
        <v>0</v>
      </c>
      <c r="J28" s="2">
        <f>PLDH3[[#This Row],[Geração Modulada ]]-PLDH3[[#This Row],[Consumo Previsto]]</f>
        <v>-4</v>
      </c>
      <c r="K28" s="5">
        <f>PLDH3[[#This Row],[Balanço Energético]]*PLDH3[[#This Row],[PLD_HORA]]</f>
        <v>-3147.2</v>
      </c>
    </row>
    <row r="29" spans="1:11" x14ac:dyDescent="0.25">
      <c r="A29" s="4">
        <v>46056.916666666657</v>
      </c>
      <c r="B29">
        <v>3</v>
      </c>
      <c r="C29">
        <v>22</v>
      </c>
      <c r="D29" s="1">
        <v>712.53</v>
      </c>
      <c r="E29" s="2">
        <v>4</v>
      </c>
      <c r="F29" s="2"/>
      <c r="G29" s="2">
        <v>0</v>
      </c>
      <c r="H29" s="2">
        <f>PLDH3[[#This Row],[Geração Modulada Média DU]]/PLDH3[[#Totals],[Geração Modulada Média DU]]/24</f>
        <v>0</v>
      </c>
      <c r="I29" s="2">
        <f>'Consumo Flat'!$B$1*24*PLDH3[[#This Row],[Fator de Modulação Médio DU Mensal]]</f>
        <v>0</v>
      </c>
      <c r="J29" s="2">
        <f>PLDH3[[#This Row],[Geração Modulada ]]-PLDH3[[#This Row],[Consumo Previsto]]</f>
        <v>-4</v>
      </c>
      <c r="K29" s="5">
        <f>PLDH3[[#This Row],[Balanço Energético]]*PLDH3[[#This Row],[PLD_HORA]]</f>
        <v>-2850.12</v>
      </c>
    </row>
    <row r="30" spans="1:11" x14ac:dyDescent="0.25">
      <c r="A30" s="4">
        <v>46056.958333333343</v>
      </c>
      <c r="B30">
        <v>3</v>
      </c>
      <c r="C30">
        <v>23</v>
      </c>
      <c r="D30" s="1">
        <v>573.32000000000005</v>
      </c>
      <c r="E30" s="2" t="e">
        <f>PLDH[[#This Row],[Consumo]]</f>
        <v>#VALUE!</v>
      </c>
      <c r="F30" s="2"/>
      <c r="G30" s="2">
        <v>0</v>
      </c>
      <c r="H30" s="2">
        <f>PLDH3[[#This Row],[Geração Modulada Média DU]]/PLDH3[[#Totals],[Geração Modulada Média DU]]/24</f>
        <v>0</v>
      </c>
      <c r="I30" s="2">
        <f>'Consumo Flat'!$B$1*24*PLDH3[[#This Row],[Fator de Modulação Médio DU Mensal]]</f>
        <v>0</v>
      </c>
      <c r="J30" s="2" t="e">
        <f>PLDH3[[#This Row],[Geração Modulada ]]-PLDH3[[#This Row],[Consumo Previsto]]</f>
        <v>#VALUE!</v>
      </c>
      <c r="K30" s="5" t="e">
        <f>PLDH3[[#This Row],[Balanço Energético]]*PLDH3[[#This Row],[PLD_HORA]]</f>
        <v>#VALUE!</v>
      </c>
    </row>
    <row r="31" spans="1:11" x14ac:dyDescent="0.25">
      <c r="A31" t="s">
        <v>22</v>
      </c>
      <c r="B31">
        <f>SUBTOTAL(104,PLDH3[DIA])</f>
        <v>3</v>
      </c>
      <c r="D31" s="1">
        <f>SUBTOTAL(101,PLDH3[PLD_HORA])</f>
        <v>457.24041666666659</v>
      </c>
      <c r="E31" s="6" t="e">
        <f>SUBTOTAL(109,PLDH3[Consumo Previsto])</f>
        <v>#VALUE!</v>
      </c>
      <c r="F31" s="6"/>
      <c r="G31" s="6">
        <f>SUBTOTAL(101,PLDH3[Geração Modulada Média DU])</f>
        <v>136.87420011738985</v>
      </c>
      <c r="H31" s="6">
        <f>SUBTOTAL(109,PLDH3[Fator de Modulação Médio DU Mensal])</f>
        <v>0.99999999999999978</v>
      </c>
      <c r="I31" s="6">
        <f>SUBTOTAL(109,PLDH3[[Geração Modulada ]])</f>
        <v>0</v>
      </c>
      <c r="J31" s="6" t="e">
        <f>SUBTOTAL(109,PLDH3[Balanço Energético])</f>
        <v>#VALUE!</v>
      </c>
      <c r="K31" s="7" t="e">
        <f>SUBTOTAL(109,PLDH3[Resultado Financeito])</f>
        <v>#VALUE!</v>
      </c>
    </row>
    <row r="34" spans="11:11" x14ac:dyDescent="0.25">
      <c r="K34" s="2" t="e">
        <f>-PLDH[[#Totals],[Resultado Financeiro]]+PLDH3[[#Totals],[Resultado Financeito]]</f>
        <v>#VALUE!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Consumo Flat</vt:lpstr>
      <vt:lpstr>Modulado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Matheus Cardoso</dc:creator>
  <cp:lastModifiedBy>Joao Miguel Abreu Constancio</cp:lastModifiedBy>
  <dcterms:created xsi:type="dcterms:W3CDTF">2025-12-29T13:35:12Z</dcterms:created>
  <dcterms:modified xsi:type="dcterms:W3CDTF">2026-02-28T22:14:34Z</dcterms:modified>
</cp:coreProperties>
</file>